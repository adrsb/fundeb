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rquivos SIOPE - 4º Bimestre 2025\Conciliação Bancária\"/>
    </mc:Choice>
  </mc:AlternateContent>
  <xr:revisionPtr revIDLastSave="0" documentId="13_ncr:1_{66A0F4BC-D024-4231-B3DD-9310113C2D3F}" xr6:coauthVersionLast="47" xr6:coauthVersionMax="47" xr10:uidLastSave="{00000000-0000-0000-0000-000000000000}"/>
  <bookViews>
    <workbookView xWindow="-120" yWindow="-120" windowWidth="20730" windowHeight="11040" firstSheet="27" activeTab="30" xr2:uid="{00000000-000D-0000-FFFF-FFFF00000000}"/>
  </bookViews>
  <sheets>
    <sheet name="Detalhamento RE - 1º Bimestre" sheetId="3" r:id="rId1"/>
    <sheet name="Extrato 01-2025" sheetId="1" r:id="rId2"/>
    <sheet name="Extrato 02-2025" sheetId="2" r:id="rId3"/>
    <sheet name="REF - 1º Bimestre" sheetId="4" r:id="rId4"/>
    <sheet name="Saldos - 01-2025" sheetId="7" r:id="rId5"/>
    <sheet name="Cálculo Conciliação 1º Bimestre" sheetId="9" r:id="rId6"/>
    <sheet name="Saldos - 02-2025" sheetId="8" r:id="rId7"/>
    <sheet name="REF - Março" sheetId="5" r:id="rId8"/>
    <sheet name="Detalhamento RE - 2º Bimestre" sheetId="12" r:id="rId9"/>
    <sheet name="Extrato 03-2025" sheetId="6" r:id="rId10"/>
    <sheet name="Saldos - 03-2025" sheetId="14" r:id="rId11"/>
    <sheet name="REF - Abril" sheetId="13" r:id="rId12"/>
    <sheet name="Extrato 04-2025" sheetId="11" r:id="rId13"/>
    <sheet name="Saldos - 04-2025" sheetId="15" r:id="rId14"/>
    <sheet name="Cálculo Conciliação 2º Bimestre" sheetId="16" r:id="rId15"/>
    <sheet name="Extrato 05-2025" sheetId="20" r:id="rId16"/>
    <sheet name="Saldos - 05-2025" sheetId="23" r:id="rId17"/>
    <sheet name="REF - MAIO" sheetId="18" r:id="rId18"/>
    <sheet name="Extrato 06-2025" sheetId="21" r:id="rId19"/>
    <sheet name="REF - JUNHO" sheetId="19" r:id="rId20"/>
    <sheet name="Saldos - 06-2025" sheetId="24" r:id="rId21"/>
    <sheet name="Cálculo Conciliação 3º Bimestre" sheetId="25" r:id="rId22"/>
    <sheet name="Detalhamento RE - 3º Bimestre" sheetId="17" r:id="rId23"/>
    <sheet name="Detalhamento RE - 4º Bimestre" sheetId="26" r:id="rId24"/>
    <sheet name="Saldos - 07-2025" sheetId="31" r:id="rId25"/>
    <sheet name="Extrato 07-2025" sheetId="27" r:id="rId26"/>
    <sheet name="REF - JULHO" sheetId="29" r:id="rId27"/>
    <sheet name="Saldos - 08-2025" sheetId="32" r:id="rId28"/>
    <sheet name="Extrato 08-2025" sheetId="28" r:id="rId29"/>
    <sheet name="REF - AGOSTO" sheetId="30" r:id="rId30"/>
    <sheet name="Cálculo Conciliação 4º Bimestre" sheetId="33" r:id="rId31"/>
  </sheets>
  <externalReferences>
    <externalReference r:id="rId32"/>
    <externalReference r:id="rId33"/>
  </externalReferences>
  <definedNames>
    <definedName name="_xlnm._FilterDatabase" localSheetId="1" hidden="1">'Extrato 01-2025'!$A$3:$E$93</definedName>
    <definedName name="_xlnm._FilterDatabase" localSheetId="2" hidden="1">'Extrato 02-2025'!$A$3:$F$75</definedName>
    <definedName name="_xlnm._FilterDatabase" localSheetId="9" hidden="1">'Extrato 03-2025'!$A$3:$F$68</definedName>
    <definedName name="_xlnm._FilterDatabase" localSheetId="12" hidden="1">'Extrato 04-2025'!$A$3:$F$67</definedName>
    <definedName name="_xlnm._FilterDatabase" localSheetId="15" hidden="1">'Extrato 05-2025'!$A$3:$F$66</definedName>
    <definedName name="_xlnm._FilterDatabase" localSheetId="18" hidden="1">'Extrato 06-2025'!$A$3:$F$78</definedName>
    <definedName name="_xlnm._FilterDatabase" localSheetId="25" hidden="1">'Extrato 07-2025'!$A$3:$F$75</definedName>
    <definedName name="_xlnm._FilterDatabase" localSheetId="28" hidden="1">'Extrato 08-2025'!$A$3:$F$58</definedName>
    <definedName name="_xlnm._FilterDatabase" localSheetId="3" hidden="1">'REF - 1º Bimestre'!$A$3:$G$65</definedName>
    <definedName name="_xlnm._FilterDatabase" localSheetId="11" hidden="1">'REF - Abril'!$A$3:$G$55</definedName>
    <definedName name="_xlnm._FilterDatabase" localSheetId="29" hidden="1">'REF - AGOSTO'!$A$5:$G$55</definedName>
    <definedName name="_xlnm._FilterDatabase" localSheetId="26" hidden="1">'REF - JULHO'!$A$5:$G$60</definedName>
    <definedName name="_xlnm._FilterDatabase" localSheetId="19" hidden="1">'REF - JUNHO'!$A$3:$G$67</definedName>
    <definedName name="_xlnm._FilterDatabase" localSheetId="17" hidden="1">'REF - MAIO'!$A$3:$G$53</definedName>
    <definedName name="_xlnm._FilterDatabase" localSheetId="7" hidden="1">'REF - Março'!$A$3:$G$70</definedName>
  </definedNames>
  <calcPr calcId="191029"/>
</workbook>
</file>

<file path=xl/calcChain.xml><?xml version="1.0" encoding="utf-8"?>
<calcChain xmlns="http://schemas.openxmlformats.org/spreadsheetml/2006/main">
  <c r="I30" i="33" l="1"/>
  <c r="D34" i="33"/>
  <c r="I28" i="33"/>
  <c r="D36" i="33"/>
  <c r="I26" i="33"/>
  <c r="I22" i="33"/>
  <c r="I20" i="33"/>
  <c r="D22" i="33" l="1"/>
  <c r="D21" i="33"/>
  <c r="D26" i="33"/>
  <c r="D20" i="33"/>
  <c r="D19" i="33"/>
  <c r="I18" i="33"/>
  <c r="I16" i="33"/>
  <c r="D7" i="33"/>
  <c r="G9" i="33" s="1"/>
  <c r="D5" i="33"/>
  <c r="D3" i="33" s="1"/>
  <c r="E3" i="33" s="1"/>
  <c r="F51" i="32"/>
  <c r="F50" i="32"/>
  <c r="F49" i="32"/>
  <c r="F48" i="32"/>
  <c r="F47" i="32"/>
  <c r="F46" i="32"/>
  <c r="F45" i="32"/>
  <c r="F44" i="32"/>
  <c r="F43" i="32"/>
  <c r="F42" i="32"/>
  <c r="F41" i="32"/>
  <c r="E44" i="32"/>
  <c r="E42" i="32"/>
  <c r="E41" i="32"/>
  <c r="E47" i="31"/>
  <c r="F46" i="31"/>
  <c r="F50" i="31"/>
  <c r="F49" i="31"/>
  <c r="F48" i="31"/>
  <c r="F47" i="31"/>
  <c r="F45" i="31"/>
  <c r="F44" i="31"/>
  <c r="F43" i="31"/>
  <c r="F42" i="31"/>
  <c r="F41" i="31"/>
  <c r="F40" i="31"/>
  <c r="E43" i="31"/>
  <c r="E42" i="31"/>
  <c r="E41" i="31"/>
  <c r="E40" i="31"/>
  <c r="F37" i="32"/>
  <c r="F36" i="32"/>
  <c r="F35" i="32"/>
  <c r="F34" i="32"/>
  <c r="F33" i="32"/>
  <c r="F32" i="32"/>
  <c r="F36" i="31"/>
  <c r="F35" i="31"/>
  <c r="F34" i="31"/>
  <c r="F32" i="31"/>
  <c r="F33" i="31"/>
  <c r="F30" i="31"/>
  <c r="F31" i="31"/>
  <c r="F22" i="31"/>
  <c r="I38" i="24"/>
  <c r="H38" i="24"/>
  <c r="E39" i="31"/>
  <c r="G6" i="33" l="1"/>
  <c r="F38" i="24"/>
  <c r="F39" i="31"/>
  <c r="F39" i="32"/>
  <c r="F38" i="32"/>
  <c r="F26" i="32"/>
  <c r="F27" i="32"/>
  <c r="F28" i="32"/>
  <c r="F29" i="32"/>
  <c r="F30" i="32"/>
  <c r="F31" i="32"/>
  <c r="F25" i="32"/>
  <c r="F24" i="32"/>
  <c r="F23" i="32"/>
  <c r="F22" i="32"/>
  <c r="E14" i="32"/>
  <c r="D38" i="33" l="1"/>
  <c r="I36" i="33"/>
  <c r="F40" i="32"/>
  <c r="F37" i="31"/>
  <c r="F38" i="31"/>
  <c r="F25" i="31"/>
  <c r="F26" i="31"/>
  <c r="F27" i="31"/>
  <c r="F28" i="31"/>
  <c r="F29" i="31"/>
  <c r="F24" i="31"/>
  <c r="F23" i="31"/>
  <c r="E17" i="32" l="1"/>
  <c r="E16" i="32"/>
  <c r="F16" i="31" l="1"/>
  <c r="F16" i="32" s="1"/>
  <c r="F15" i="31"/>
  <c r="F15" i="32" s="1"/>
  <c r="F13" i="31"/>
  <c r="F13" i="32" s="1"/>
  <c r="F12" i="31"/>
  <c r="F12" i="32" s="1"/>
  <c r="F11" i="31"/>
  <c r="F11" i="32" s="1"/>
  <c r="F10" i="31"/>
  <c r="F10" i="32" s="1"/>
  <c r="F9" i="31"/>
  <c r="F9" i="32" s="1"/>
  <c r="F8" i="31"/>
  <c r="F7" i="31"/>
  <c r="F7" i="32" s="1"/>
  <c r="F6" i="31"/>
  <c r="F6" i="32" s="1"/>
  <c r="F5" i="31"/>
  <c r="F5" i="32" s="1"/>
  <c r="E16" i="31"/>
  <c r="E17" i="31"/>
  <c r="F17" i="31" s="1"/>
  <c r="F17" i="32" s="1"/>
  <c r="E59" i="32"/>
  <c r="E40" i="32"/>
  <c r="E14" i="31"/>
  <c r="E51" i="31"/>
  <c r="E58" i="31"/>
  <c r="D3" i="30"/>
  <c r="D3" i="29"/>
  <c r="G55" i="26"/>
  <c r="G49" i="26"/>
  <c r="G29" i="26"/>
  <c r="C2" i="28"/>
  <c r="C2" i="27"/>
  <c r="H14" i="31" s="1"/>
  <c r="G104" i="26"/>
  <c r="G89" i="26"/>
  <c r="G62" i="26"/>
  <c r="G43" i="26"/>
  <c r="G2" i="26"/>
  <c r="I25" i="25"/>
  <c r="F52" i="32" l="1"/>
  <c r="E52" i="32"/>
  <c r="F14" i="31"/>
  <c r="F19" i="31" s="1"/>
  <c r="E19" i="31"/>
  <c r="F51" i="31"/>
  <c r="D28" i="25"/>
  <c r="D33" i="25"/>
  <c r="I23" i="25"/>
  <c r="I18" i="25" l="1"/>
  <c r="D20" i="25"/>
  <c r="D19" i="25"/>
  <c r="D31" i="25" s="1"/>
  <c r="I16" i="25"/>
  <c r="D25" i="25"/>
  <c r="D7" i="25"/>
  <c r="D5" i="25"/>
  <c r="G6" i="25" s="1"/>
  <c r="F44" i="24"/>
  <c r="F45" i="24"/>
  <c r="F46" i="24"/>
  <c r="F47" i="24"/>
  <c r="F48" i="24"/>
  <c r="F49" i="24"/>
  <c r="F43" i="24"/>
  <c r="F42" i="24"/>
  <c r="F41" i="24"/>
  <c r="F40" i="24"/>
  <c r="F39" i="24"/>
  <c r="E46" i="24"/>
  <c r="E45" i="24"/>
  <c r="E42" i="24"/>
  <c r="E41" i="24"/>
  <c r="E40" i="24"/>
  <c r="E39" i="24"/>
  <c r="F37" i="24"/>
  <c r="F36" i="24"/>
  <c r="F35" i="24"/>
  <c r="F34" i="24"/>
  <c r="F33" i="24"/>
  <c r="F32" i="24"/>
  <c r="F31" i="24"/>
  <c r="F30" i="24"/>
  <c r="F25" i="24"/>
  <c r="F26" i="24"/>
  <c r="F27" i="24"/>
  <c r="F28" i="24"/>
  <c r="F29" i="24"/>
  <c r="F24" i="24"/>
  <c r="F23" i="24"/>
  <c r="F22" i="24"/>
  <c r="D3" i="25" l="1"/>
  <c r="E3" i="25" s="1"/>
  <c r="I20" i="25"/>
  <c r="D35" i="25"/>
  <c r="G9" i="25"/>
  <c r="F18" i="24"/>
  <c r="F15" i="24"/>
  <c r="E17" i="24"/>
  <c r="F17" i="24" s="1"/>
  <c r="E16" i="24"/>
  <c r="F16" i="24" s="1"/>
  <c r="F13" i="24"/>
  <c r="F12" i="24"/>
  <c r="F6" i="24"/>
  <c r="F7" i="24"/>
  <c r="F8" i="24"/>
  <c r="F9" i="24"/>
  <c r="F10" i="24"/>
  <c r="F11" i="24"/>
  <c r="F5" i="24"/>
  <c r="E57" i="24"/>
  <c r="E38" i="24"/>
  <c r="E14" i="24"/>
  <c r="H36" i="23"/>
  <c r="F33" i="23"/>
  <c r="F32" i="23"/>
  <c r="F31" i="23"/>
  <c r="F30" i="23"/>
  <c r="F29" i="23"/>
  <c r="F24" i="23"/>
  <c r="F23" i="23"/>
  <c r="F22" i="23"/>
  <c r="H35" i="15"/>
  <c r="I39" i="13"/>
  <c r="E41" i="23"/>
  <c r="F40" i="23"/>
  <c r="F47" i="23"/>
  <c r="F46" i="23"/>
  <c r="F45" i="23"/>
  <c r="F44" i="23"/>
  <c r="F43" i="23"/>
  <c r="F42" i="23"/>
  <c r="E40" i="23"/>
  <c r="E38" i="23"/>
  <c r="F38" i="23" s="1"/>
  <c r="E37" i="23"/>
  <c r="F37" i="23" s="1"/>
  <c r="F35" i="23"/>
  <c r="F34" i="23"/>
  <c r="F26" i="23"/>
  <c r="F27" i="23"/>
  <c r="F25" i="23"/>
  <c r="E36" i="23"/>
  <c r="F18" i="23"/>
  <c r="F15" i="23"/>
  <c r="F13" i="23"/>
  <c r="F12" i="23"/>
  <c r="F6" i="23"/>
  <c r="F7" i="23"/>
  <c r="F8" i="23"/>
  <c r="F9" i="23"/>
  <c r="F10" i="23"/>
  <c r="F11" i="23"/>
  <c r="F5" i="23"/>
  <c r="E17" i="23"/>
  <c r="F17" i="23" s="1"/>
  <c r="E16" i="23"/>
  <c r="F16" i="23" s="1"/>
  <c r="E19" i="24" l="1"/>
  <c r="F14" i="24"/>
  <c r="F19" i="24" s="1"/>
  <c r="F50" i="24"/>
  <c r="E50" i="24"/>
  <c r="E51" i="24" s="1"/>
  <c r="E55" i="23"/>
  <c r="E14" i="23"/>
  <c r="F14" i="23"/>
  <c r="C2" i="21"/>
  <c r="E19" i="23" l="1"/>
  <c r="F19" i="23"/>
  <c r="E48" i="23"/>
  <c r="E49" i="23" s="1"/>
  <c r="C2" i="20"/>
  <c r="D2" i="19"/>
  <c r="D2" i="18"/>
  <c r="G104" i="17"/>
  <c r="G99" i="17"/>
  <c r="G96" i="17"/>
  <c r="G81" i="17"/>
  <c r="G2" i="17"/>
  <c r="G54" i="17" l="1"/>
  <c r="G49" i="17"/>
  <c r="G29" i="17"/>
  <c r="F42" i="15" l="1"/>
  <c r="F41" i="15"/>
  <c r="F39" i="15"/>
  <c r="F38" i="15"/>
  <c r="F37" i="15"/>
  <c r="F36" i="15"/>
  <c r="E39" i="15"/>
  <c r="E37" i="15"/>
  <c r="E36" i="15"/>
  <c r="F43" i="14"/>
  <c r="F44" i="15" s="1"/>
  <c r="F42" i="14"/>
  <c r="F43" i="15" s="1"/>
  <c r="F41" i="14"/>
  <c r="F40" i="14"/>
  <c r="F39" i="14"/>
  <c r="F40" i="15" s="1"/>
  <c r="F41" i="23" s="1"/>
  <c r="F38" i="14"/>
  <c r="F37" i="14"/>
  <c r="F36" i="14"/>
  <c r="F35" i="14"/>
  <c r="F45" i="15" l="1"/>
  <c r="F39" i="23"/>
  <c r="E48" i="15"/>
  <c r="E47" i="14"/>
  <c r="E38" i="14"/>
  <c r="E36" i="14"/>
  <c r="E35" i="14"/>
  <c r="F34" i="15"/>
  <c r="F33" i="15"/>
  <c r="F32" i="15"/>
  <c r="F31" i="15"/>
  <c r="F30" i="15"/>
  <c r="F29" i="15"/>
  <c r="F28" i="15"/>
  <c r="F28" i="23" s="1"/>
  <c r="F27" i="15"/>
  <c r="F26" i="15"/>
  <c r="F25" i="15"/>
  <c r="F24" i="15"/>
  <c r="F23" i="15"/>
  <c r="F22" i="15"/>
  <c r="F33" i="14"/>
  <c r="F32" i="14"/>
  <c r="F31" i="14"/>
  <c r="F30" i="14"/>
  <c r="F29" i="14"/>
  <c r="F28" i="14"/>
  <c r="F27" i="14"/>
  <c r="F26" i="14"/>
  <c r="F25" i="14"/>
  <c r="F24" i="14"/>
  <c r="F23" i="14"/>
  <c r="F22" i="14"/>
  <c r="E17" i="15"/>
  <c r="E16" i="15"/>
  <c r="F9" i="15"/>
  <c r="F5" i="15"/>
  <c r="E52" i="15"/>
  <c r="E35" i="15"/>
  <c r="E45" i="15" s="1"/>
  <c r="E14" i="15"/>
  <c r="F18" i="14"/>
  <c r="F18" i="15" s="1"/>
  <c r="F15" i="14"/>
  <c r="F15" i="15" s="1"/>
  <c r="E17" i="14"/>
  <c r="F17" i="14" s="1"/>
  <c r="F17" i="15" s="1"/>
  <c r="E16" i="14"/>
  <c r="F16" i="14" s="1"/>
  <c r="F16" i="15" s="1"/>
  <c r="F13" i="14"/>
  <c r="F13" i="15" s="1"/>
  <c r="F12" i="14"/>
  <c r="F12" i="15" s="1"/>
  <c r="F11" i="14"/>
  <c r="F11" i="15" s="1"/>
  <c r="F10" i="14"/>
  <c r="F10" i="15" s="1"/>
  <c r="F9" i="14"/>
  <c r="F8" i="14"/>
  <c r="F8" i="15" s="1"/>
  <c r="F7" i="14"/>
  <c r="F7" i="15" s="1"/>
  <c r="F6" i="14"/>
  <c r="F6" i="15" s="1"/>
  <c r="F5" i="14"/>
  <c r="F36" i="23" l="1"/>
  <c r="F48" i="23" s="1"/>
  <c r="F35" i="15"/>
  <c r="E44" i="14"/>
  <c r="E19" i="15"/>
  <c r="F14" i="15"/>
  <c r="F19" i="15" s="1"/>
  <c r="F14" i="14"/>
  <c r="C2" i="6" l="1"/>
  <c r="E51" i="14"/>
  <c r="E34" i="14"/>
  <c r="H34" i="14" s="1"/>
  <c r="E14" i="14"/>
  <c r="E19" i="14" s="1"/>
  <c r="D2" i="13"/>
  <c r="G103" i="12"/>
  <c r="G99" i="12"/>
  <c r="G72" i="12"/>
  <c r="G59" i="12"/>
  <c r="G52" i="12"/>
  <c r="G47" i="12"/>
  <c r="G36" i="12"/>
  <c r="G29" i="12"/>
  <c r="G2" i="12"/>
  <c r="C2" i="11"/>
  <c r="I20" i="9"/>
  <c r="D20" i="9"/>
  <c r="D34" i="9"/>
  <c r="D29" i="9"/>
  <c r="D19" i="9"/>
  <c r="F34" i="14" l="1"/>
  <c r="F44" i="14" s="1"/>
  <c r="F19" i="14"/>
  <c r="D40" i="9"/>
  <c r="D36" i="9"/>
  <c r="I16" i="9"/>
  <c r="D7" i="9"/>
  <c r="G9" i="9" s="1"/>
  <c r="D5" i="9"/>
  <c r="D3" i="9" s="1"/>
  <c r="E3" i="9" s="1"/>
  <c r="F40" i="8"/>
  <c r="E40" i="8"/>
  <c r="F38" i="7"/>
  <c r="F39" i="8" s="1"/>
  <c r="F42" i="8"/>
  <c r="E38" i="8"/>
  <c r="F38" i="8" s="1"/>
  <c r="F30" i="8"/>
  <c r="F37" i="7"/>
  <c r="F41" i="8" s="1"/>
  <c r="F26" i="8"/>
  <c r="D42" i="9" l="1"/>
  <c r="I17" i="9"/>
  <c r="D27" i="9"/>
  <c r="D31" i="9" s="1"/>
  <c r="G6" i="9"/>
  <c r="E50" i="8"/>
  <c r="E37" i="8"/>
  <c r="E35" i="8"/>
  <c r="E34" i="8"/>
  <c r="E33" i="8"/>
  <c r="E14" i="8"/>
  <c r="E19" i="8" s="1"/>
  <c r="E35" i="7"/>
  <c r="F35" i="7" s="1"/>
  <c r="E34" i="7"/>
  <c r="F34" i="7" s="1"/>
  <c r="E33" i="7"/>
  <c r="F33" i="7" s="1"/>
  <c r="E32" i="7"/>
  <c r="F32" i="7" s="1"/>
  <c r="F30" i="7"/>
  <c r="F32" i="8" s="1"/>
  <c r="F29" i="7"/>
  <c r="F31" i="8" s="1"/>
  <c r="F28" i="7"/>
  <c r="F29" i="8" s="1"/>
  <c r="F27" i="7"/>
  <c r="F28" i="8" s="1"/>
  <c r="F26" i="7"/>
  <c r="F27" i="8" s="1"/>
  <c r="F25" i="7"/>
  <c r="F25" i="8" s="1"/>
  <c r="F24" i="7"/>
  <c r="F24" i="8" s="1"/>
  <c r="F23" i="7"/>
  <c r="F23" i="8" s="1"/>
  <c r="F22" i="7"/>
  <c r="F22" i="8" s="1"/>
  <c r="F18" i="7"/>
  <c r="F18" i="8" s="1"/>
  <c r="F17" i="7"/>
  <c r="F17" i="8" s="1"/>
  <c r="F16" i="7"/>
  <c r="F16" i="8" s="1"/>
  <c r="F15" i="7"/>
  <c r="F15" i="8" s="1"/>
  <c r="F13" i="7"/>
  <c r="F13" i="8" s="1"/>
  <c r="F12" i="7"/>
  <c r="F12" i="8" s="1"/>
  <c r="F11" i="7"/>
  <c r="F11" i="8" s="1"/>
  <c r="F10" i="7"/>
  <c r="F10" i="8" s="1"/>
  <c r="F9" i="7"/>
  <c r="F9" i="8" s="1"/>
  <c r="F8" i="7"/>
  <c r="F8" i="8" s="1"/>
  <c r="F7" i="7"/>
  <c r="F7" i="8" s="1"/>
  <c r="F6" i="7"/>
  <c r="F6" i="8" s="1"/>
  <c r="F5" i="7"/>
  <c r="F5" i="8" s="1"/>
  <c r="E46" i="7"/>
  <c r="E31" i="7"/>
  <c r="E14" i="7"/>
  <c r="D2" i="5"/>
  <c r="F33" i="8" l="1"/>
  <c r="F36" i="8"/>
  <c r="F37" i="8"/>
  <c r="F34" i="8"/>
  <c r="F35" i="8"/>
  <c r="E43" i="8"/>
  <c r="F14" i="8"/>
  <c r="F19" i="8" s="1"/>
  <c r="E39" i="7"/>
  <c r="F14" i="7"/>
  <c r="F19" i="7" s="1"/>
  <c r="F31" i="7"/>
  <c r="F39" i="7" s="1"/>
  <c r="E19" i="7"/>
  <c r="D2" i="4"/>
  <c r="G54" i="3"/>
  <c r="G51" i="3"/>
  <c r="G45" i="3"/>
  <c r="G35" i="3"/>
  <c r="G29" i="3"/>
  <c r="G2" i="3"/>
  <c r="F43" i="8" l="1"/>
  <c r="C2" i="2"/>
  <c r="C2" i="1" l="1"/>
  <c r="H34" i="15" l="1"/>
  <c r="F8" i="32"/>
  <c r="F14" i="32" s="1"/>
  <c r="E19" i="32"/>
  <c r="F19" i="32" l="1"/>
</calcChain>
</file>

<file path=xl/sharedStrings.xml><?xml version="1.0" encoding="utf-8"?>
<sst xmlns="http://schemas.openxmlformats.org/spreadsheetml/2006/main" count="6636" uniqueCount="1223">
  <si>
    <t>Extrato Conta Corrente</t>
  </si>
  <si>
    <t>Agencia</t>
  </si>
  <si>
    <t>Data</t>
  </si>
  <si>
    <t>Historico</t>
  </si>
  <si>
    <t xml:space="preserve">Valor R$ </t>
  </si>
  <si>
    <t>Inf.</t>
  </si>
  <si>
    <t>Detalhamento Hist.</t>
  </si>
  <si>
    <t>C</t>
  </si>
  <si>
    <t xml:space="preserve">                                      </t>
  </si>
  <si>
    <t>10/01/2025</t>
  </si>
  <si>
    <t xml:space="preserve">IPVA                     </t>
  </si>
  <si>
    <t xml:space="preserve">ITR                      </t>
  </si>
  <si>
    <t xml:space="preserve">RECEBIMENTO DE ICMS      </t>
  </si>
  <si>
    <t xml:space="preserve">FPE/FPM                  </t>
  </si>
  <si>
    <t xml:space="preserve">IPI/EXPORTACAO           </t>
  </si>
  <si>
    <t xml:space="preserve">COTA DAF-DEBITO          </t>
  </si>
  <si>
    <t>D</t>
  </si>
  <si>
    <t xml:space="preserve">BB-APLIC C.PRZ-APL.AUT   </t>
  </si>
  <si>
    <t>13/01/2025</t>
  </si>
  <si>
    <t>TED Transf.Eletr.Disponiv</t>
  </si>
  <si>
    <t xml:space="preserve">Resgate Automático       </t>
  </si>
  <si>
    <t>14/01/2025</t>
  </si>
  <si>
    <t xml:space="preserve">Folha de Pagamento       </t>
  </si>
  <si>
    <t>15/01/2025</t>
  </si>
  <si>
    <t xml:space="preserve">Tar Lib/Ant Float Pg Div </t>
  </si>
  <si>
    <t>16/01/2025</t>
  </si>
  <si>
    <t xml:space="preserve">Pagto via Auto-Atend.BB  </t>
  </si>
  <si>
    <t xml:space="preserve">GRU-GUIA RECOLHIM. UNIAO              </t>
  </si>
  <si>
    <t xml:space="preserve">Impostos                 </t>
  </si>
  <si>
    <t>17/01/2025</t>
  </si>
  <si>
    <t xml:space="preserve">ITCMD                    </t>
  </si>
  <si>
    <t>20/01/2025</t>
  </si>
  <si>
    <t>23/01/2025</t>
  </si>
  <si>
    <t>24/01/2025</t>
  </si>
  <si>
    <t>27/01/2025</t>
  </si>
  <si>
    <t>28/01/2025</t>
  </si>
  <si>
    <t>29/01/2025</t>
  </si>
  <si>
    <t xml:space="preserve">Pagamentos Diversos      </t>
  </si>
  <si>
    <t>30/01/2025</t>
  </si>
  <si>
    <t>31/01/2025</t>
  </si>
  <si>
    <t xml:space="preserve">VAAR Complemento FUNDEB  </t>
  </si>
  <si>
    <t xml:space="preserve">Ajuste Complemento VAAR  </t>
  </si>
  <si>
    <t>Transferência Constitucional - FUNDEB</t>
  </si>
  <si>
    <t xml:space="preserve">IPI/EXPORTACAO - Cota Débito      </t>
  </si>
  <si>
    <t>Aplicação Financeira</t>
  </si>
  <si>
    <t>Tarifa Bancária</t>
  </si>
  <si>
    <t>06/02/2025</t>
  </si>
  <si>
    <t>10/02/2025</t>
  </si>
  <si>
    <t>13/02/2025</t>
  </si>
  <si>
    <t xml:space="preserve">ORDEM BANC CANCELADA     </t>
  </si>
  <si>
    <t xml:space="preserve">Emissão Ordem Bancária   </t>
  </si>
  <si>
    <t>14/02/2025</t>
  </si>
  <si>
    <t>17/02/2025</t>
  </si>
  <si>
    <t>20/02/2025</t>
  </si>
  <si>
    <t>21/02/2025</t>
  </si>
  <si>
    <t>24/02/2025</t>
  </si>
  <si>
    <t>26/02/2025</t>
  </si>
  <si>
    <t>27/02/2025</t>
  </si>
  <si>
    <t>28/02/2025</t>
  </si>
  <si>
    <t>TOTAL</t>
  </si>
  <si>
    <t>Nº RE</t>
  </si>
  <si>
    <t>Nº OB</t>
  </si>
  <si>
    <t>DESCRIÇÃO</t>
  </si>
  <si>
    <t>DETALHAMENTO</t>
  </si>
  <si>
    <t>Nº GD</t>
  </si>
  <si>
    <t>Vlr Individual</t>
  </si>
  <si>
    <t>Folha de Pagamento</t>
  </si>
  <si>
    <t>ALLIANZ SEGUROS S.A</t>
  </si>
  <si>
    <t>ASPA MENSALIDADE</t>
  </si>
  <si>
    <t>ASPBRAS-ASSOC.DOS SERV.PUBLICOS BRASILEIROS.</t>
  </si>
  <si>
    <t>ASPEB</t>
  </si>
  <si>
    <t>ASS.ASSIST.FUNC.PUBLICO MENSALIDADE</t>
  </si>
  <si>
    <t>ASSEGUP MENS</t>
  </si>
  <si>
    <t>HSBC BAMERINDUS SEGUROS</t>
  </si>
  <si>
    <t>BANCO MASTER S.A</t>
  </si>
  <si>
    <t>BANCO OLE BONSUCESSO CONSIGNADO S/A</t>
  </si>
  <si>
    <t>BANCO CRUZEIRO DO SUL S/A</t>
  </si>
  <si>
    <t>BANCO INDUSTRIAL DO BRASIL S/A - BI</t>
  </si>
  <si>
    <t>BANCO PANAMERICANO S/A</t>
  </si>
  <si>
    <t>BANCO RURAL- EM LIQUIDAÇÃO EXTRAJUDICIAL</t>
  </si>
  <si>
    <t>BANCO DO BRASIL S/A</t>
  </si>
  <si>
    <t>CAPEMISA SEGURADORA DE VIDA E PRESIDENCIA S/A</t>
  </si>
  <si>
    <t>BANCO SANTANDER BANESPA S.A</t>
  </si>
  <si>
    <t>AGENCIA DE FOMENTO DO AMAPA S/A   AFAP</t>
  </si>
  <si>
    <t>SINSEPEAP-SIND.SERV.PUB.EDUC.AP</t>
  </si>
  <si>
    <t>SUL AMERICA SEGUROS DE VIDA E PREVIDENCIA S/A.</t>
  </si>
  <si>
    <t>PDT CONTRIBUIÇÃO</t>
  </si>
  <si>
    <t>GOVERNO DO ESTADO DO AMAPA</t>
  </si>
  <si>
    <t>BANCO BMG S/A</t>
  </si>
  <si>
    <t>R.S.P.P.ASS.PREV.PRIVADA</t>
  </si>
  <si>
    <t>UNIODONTO</t>
  </si>
  <si>
    <t>AMAPÁ PREVIDÊNCIA</t>
  </si>
  <si>
    <t>SECRETARIA DA RECEITA FEDERAL DO BRASIL (MINISTÉRIO DA FAZENDA)</t>
  </si>
  <si>
    <t>SINDICATO DOS EMPREG. EM EMP. DE PROC. DE DADOS...</t>
  </si>
  <si>
    <t>SIND. DOS SERVIDORES GRUPO GESTÃO ADM DO EST. D...</t>
  </si>
  <si>
    <t>2025RE00014</t>
  </si>
  <si>
    <t>2025OB00276</t>
  </si>
  <si>
    <t>2025OB00277</t>
  </si>
  <si>
    <t>2025OB00278</t>
  </si>
  <si>
    <t>2025OB00279</t>
  </si>
  <si>
    <t>2025OB00280</t>
  </si>
  <si>
    <t>2025OB00281</t>
  </si>
  <si>
    <t>2025OB00283</t>
  </si>
  <si>
    <t>2025OB00284</t>
  </si>
  <si>
    <t>2025OB00285</t>
  </si>
  <si>
    <t>2025OB00286</t>
  </si>
  <si>
    <t>2025OB00288</t>
  </si>
  <si>
    <t>2025OB00289</t>
  </si>
  <si>
    <t>2025OB00290</t>
  </si>
  <si>
    <t>2025OB00291</t>
  </si>
  <si>
    <t>2025OB00292</t>
  </si>
  <si>
    <t>2025OB00293</t>
  </si>
  <si>
    <t>2025OB00295</t>
  </si>
  <si>
    <t>2025OB00297</t>
  </si>
  <si>
    <t>2025OB00298</t>
  </si>
  <si>
    <t>2025OB00299</t>
  </si>
  <si>
    <t>2025OB00300</t>
  </si>
  <si>
    <t>2025OB00301</t>
  </si>
  <si>
    <t>2025OB00302</t>
  </si>
  <si>
    <t>2025OB00303</t>
  </si>
  <si>
    <t>2025OB00304</t>
  </si>
  <si>
    <t>2025GD00002</t>
  </si>
  <si>
    <t>RE</t>
  </si>
  <si>
    <t>2025OB00282</t>
  </si>
  <si>
    <t>2025OB00287</t>
  </si>
  <si>
    <t>2025OB00294</t>
  </si>
  <si>
    <t>2025OB00296</t>
  </si>
  <si>
    <t>2025RE00015</t>
  </si>
  <si>
    <t>2025OB00588</t>
  </si>
  <si>
    <t>2025OB00589</t>
  </si>
  <si>
    <t>2025OB00590</t>
  </si>
  <si>
    <t>2025OB00591</t>
  </si>
  <si>
    <t>2025OB00592</t>
  </si>
  <si>
    <t>2025OB00593</t>
  </si>
  <si>
    <t>2025OB00594</t>
  </si>
  <si>
    <t>2025OB00595</t>
  </si>
  <si>
    <t>2025RE00028</t>
  </si>
  <si>
    <t>2025RE00031</t>
  </si>
  <si>
    <t>2025OB00597</t>
  </si>
  <si>
    <t>2025OB00598</t>
  </si>
  <si>
    <t>2025OB00599</t>
  </si>
  <si>
    <t>2025OB00600</t>
  </si>
  <si>
    <t>2025RE00042</t>
  </si>
  <si>
    <t>2025OB00727</t>
  </si>
  <si>
    <t>2025RE00053</t>
  </si>
  <si>
    <t>2025OB00858</t>
  </si>
  <si>
    <t>2025OB00859</t>
  </si>
  <si>
    <t>2025OB00860</t>
  </si>
  <si>
    <t>2025OB00861</t>
  </si>
  <si>
    <t>2025OB00862</t>
  </si>
  <si>
    <t>PD</t>
  </si>
  <si>
    <t>OB</t>
  </si>
  <si>
    <t>Credor</t>
  </si>
  <si>
    <t>2 - Fevereiro</t>
  </si>
  <si>
    <t>2025PD00318</t>
  </si>
  <si>
    <t>PF0000023 - FOLHA DE PAGAMENTO</t>
  </si>
  <si>
    <t>2025PD00748</t>
  </si>
  <si>
    <t>2025OB00806</t>
  </si>
  <si>
    <t>2025PD00693</t>
  </si>
  <si>
    <t>2025OB00805</t>
  </si>
  <si>
    <t>2025PD00749</t>
  </si>
  <si>
    <t>2025OB00807</t>
  </si>
  <si>
    <t>2025PD00646</t>
  </si>
  <si>
    <t>2025OB00802</t>
  </si>
  <si>
    <t>2025PD00616</t>
  </si>
  <si>
    <t>2025PD00650</t>
  </si>
  <si>
    <t>2025OB00808</t>
  </si>
  <si>
    <t>2025PD00277</t>
  </si>
  <si>
    <t>2025PD00292</t>
  </si>
  <si>
    <t>2025PD00302</t>
  </si>
  <si>
    <t>2025PD00305</t>
  </si>
  <si>
    <t>2025PD00306</t>
  </si>
  <si>
    <t>2025PD00307</t>
  </si>
  <si>
    <t>2025PD00308</t>
  </si>
  <si>
    <t>2025PD00309</t>
  </si>
  <si>
    <t>2025PD00310</t>
  </si>
  <si>
    <t>2025PD00311</t>
  </si>
  <si>
    <t>2025PD00312</t>
  </si>
  <si>
    <t>2025PD00313</t>
  </si>
  <si>
    <t>2025PD00314</t>
  </si>
  <si>
    <t>2025PD00315</t>
  </si>
  <si>
    <t>2025PD00316</t>
  </si>
  <si>
    <t>2025PD00317</t>
  </si>
  <si>
    <t>2025PD00319</t>
  </si>
  <si>
    <t>2025PD00320</t>
  </si>
  <si>
    <t>2025PD00321</t>
  </si>
  <si>
    <t>2025PD00322</t>
  </si>
  <si>
    <t>2025PD00323</t>
  </si>
  <si>
    <t>2025PD00324</t>
  </si>
  <si>
    <t>2025PD00325</t>
  </si>
  <si>
    <t>2025PD00326</t>
  </si>
  <si>
    <t>2025PD00327</t>
  </si>
  <si>
    <t>2025PD00328</t>
  </si>
  <si>
    <t>2025PD00329</t>
  </si>
  <si>
    <t>2025PD00330</t>
  </si>
  <si>
    <t>2025PD00660</t>
  </si>
  <si>
    <t>2025OB00803</t>
  </si>
  <si>
    <t>2025PD00824</t>
  </si>
  <si>
    <t>2025PD00662</t>
  </si>
  <si>
    <t>2025OB00804</t>
  </si>
  <si>
    <t>2025PD00587</t>
  </si>
  <si>
    <t>2025PD00588</t>
  </si>
  <si>
    <t>2025PD00589</t>
  </si>
  <si>
    <t>2025PD00592</t>
  </si>
  <si>
    <t>2025PD00593</t>
  </si>
  <si>
    <t>2025PD00667</t>
  </si>
  <si>
    <t>2025OB00811</t>
  </si>
  <si>
    <t>2025PD00590</t>
  </si>
  <si>
    <t>00394460005887 - SECRETARIA DA RECEITA FEDERAL DO BRASIL (MINISTÉRIO DA FAZENDA)</t>
  </si>
  <si>
    <t>2025PD00591</t>
  </si>
  <si>
    <t>2025PD00670</t>
  </si>
  <si>
    <t>2025OB00814</t>
  </si>
  <si>
    <t>2025PD00690</t>
  </si>
  <si>
    <t>2025OB00818</t>
  </si>
  <si>
    <t>2025PD00594</t>
  </si>
  <si>
    <t>03281445000185 - AMAPÁ PREVIDÊNCIA</t>
  </si>
  <si>
    <t>2025PD00596</t>
  </si>
  <si>
    <t>2025PD00674</t>
  </si>
  <si>
    <t>2025OB00816</t>
  </si>
  <si>
    <t>2025PD00668</t>
  </si>
  <si>
    <t>2025OB00812</t>
  </si>
  <si>
    <t>2025PD00652</t>
  </si>
  <si>
    <t>2025OB00809</t>
  </si>
  <si>
    <t>2025PD00595</t>
  </si>
  <si>
    <t>2025PD00669</t>
  </si>
  <si>
    <t>2025OB00813</t>
  </si>
  <si>
    <t>2025PD00653</t>
  </si>
  <si>
    <t>2025OB00810</t>
  </si>
  <si>
    <t>2025PD00763</t>
  </si>
  <si>
    <t>2025OB00819</t>
  </si>
  <si>
    <t>2025PD00764</t>
  </si>
  <si>
    <t>2025OB00820</t>
  </si>
  <si>
    <t>2025PD00672</t>
  </si>
  <si>
    <t>2025OB00815</t>
  </si>
  <si>
    <t>2025PD00597</t>
  </si>
  <si>
    <t>2025PD00675</t>
  </si>
  <si>
    <t>2025OB00817</t>
  </si>
  <si>
    <t>Extrato de Fevereiro</t>
  </si>
  <si>
    <t>Mês de Ocorrência</t>
  </si>
  <si>
    <t>GD</t>
  </si>
  <si>
    <t>Extrato de Janeiro</t>
  </si>
  <si>
    <t>Férias</t>
  </si>
  <si>
    <t>Salário de 01/2024</t>
  </si>
  <si>
    <t>3 - Março</t>
  </si>
  <si>
    <t>2025PD01304</t>
  </si>
  <si>
    <t>2025OB03433</t>
  </si>
  <si>
    <t>2025PD01305</t>
  </si>
  <si>
    <t>2025OB03434</t>
  </si>
  <si>
    <t>2025PD01183</t>
  </si>
  <si>
    <t>2025OB01123</t>
  </si>
  <si>
    <t>2025PD02593</t>
  </si>
  <si>
    <t>2025OB03435</t>
  </si>
  <si>
    <t>2025PD02594</t>
  </si>
  <si>
    <t>2025OB03436</t>
  </si>
  <si>
    <t>2025PD03570</t>
  </si>
  <si>
    <t>2025OB03605</t>
  </si>
  <si>
    <t>2025PD03571</t>
  </si>
  <si>
    <t>2025OB03606</t>
  </si>
  <si>
    <t>2025PD01035</t>
  </si>
  <si>
    <t>2025OB01014</t>
  </si>
  <si>
    <t>2025PD01036</t>
  </si>
  <si>
    <t>2025OB01015</t>
  </si>
  <si>
    <t>2025PD01038</t>
  </si>
  <si>
    <t>2025OB01016</t>
  </si>
  <si>
    <t>2025PD01039</t>
  </si>
  <si>
    <t>2025OB01017</t>
  </si>
  <si>
    <t>2025PD01040</t>
  </si>
  <si>
    <t>2025OB01018</t>
  </si>
  <si>
    <t>2025PD01041</t>
  </si>
  <si>
    <t>2025OB01019</t>
  </si>
  <si>
    <t>2025PD01042</t>
  </si>
  <si>
    <t>2025OB01020</t>
  </si>
  <si>
    <t>2025PD01043</t>
  </si>
  <si>
    <t>2025OB01021</t>
  </si>
  <si>
    <t>2025PD01044</t>
  </si>
  <si>
    <t>2025OB01022</t>
  </si>
  <si>
    <t>2025PD01045</t>
  </si>
  <si>
    <t>2025OB01023</t>
  </si>
  <si>
    <t>2025PD01046</t>
  </si>
  <si>
    <t>2025OB01024</t>
  </si>
  <si>
    <t>2025PD01048</t>
  </si>
  <si>
    <t>2025OB01025</t>
  </si>
  <si>
    <t>2025PD01049</t>
  </si>
  <si>
    <t>2025OB01026</t>
  </si>
  <si>
    <t>2025PD01050</t>
  </si>
  <si>
    <t>2025OB01027</t>
  </si>
  <si>
    <t>2025PD01051</t>
  </si>
  <si>
    <t>2025OB01028</t>
  </si>
  <si>
    <t>2025PD01053</t>
  </si>
  <si>
    <t>2025OB01029</t>
  </si>
  <si>
    <t>2025PD01054</t>
  </si>
  <si>
    <t>2025OB01030</t>
  </si>
  <si>
    <t>2025PD01055</t>
  </si>
  <si>
    <t>2025OB01031</t>
  </si>
  <si>
    <t>2025PD01057</t>
  </si>
  <si>
    <t>2025OB01032</t>
  </si>
  <si>
    <t>2025PD01059</t>
  </si>
  <si>
    <t>2025OB01033</t>
  </si>
  <si>
    <t>2025PD01060</t>
  </si>
  <si>
    <t>2025OB01034</t>
  </si>
  <si>
    <t>2025PD01062</t>
  </si>
  <si>
    <t>2025OB01035</t>
  </si>
  <si>
    <t>2025PD01064</t>
  </si>
  <si>
    <t>2025OB01036</t>
  </si>
  <si>
    <t>2025PD01067</t>
  </si>
  <si>
    <t>2025OB01038</t>
  </si>
  <si>
    <t>2025PD01068</t>
  </si>
  <si>
    <t>2025OB01039</t>
  </si>
  <si>
    <t>2025PD01069</t>
  </si>
  <si>
    <t>2025OB01040</t>
  </si>
  <si>
    <t>2025PD01070</t>
  </si>
  <si>
    <t>2025OB01041</t>
  </si>
  <si>
    <t>2025PD01071</t>
  </si>
  <si>
    <t>2025OB01042</t>
  </si>
  <si>
    <t>2025PD01072</t>
  </si>
  <si>
    <t>2025OB01043</t>
  </si>
  <si>
    <t>2025PD01118</t>
  </si>
  <si>
    <t>2025OB01119</t>
  </si>
  <si>
    <t>2025PD01121</t>
  </si>
  <si>
    <t>2025OB01120</t>
  </si>
  <si>
    <t>2025PD01382</t>
  </si>
  <si>
    <t>2025OB01432</t>
  </si>
  <si>
    <t>2025PD03557</t>
  </si>
  <si>
    <t>2025OB03505</t>
  </si>
  <si>
    <t>2025PD03253</t>
  </si>
  <si>
    <t>2025OB03265</t>
  </si>
  <si>
    <t>2025PD03480</t>
  </si>
  <si>
    <t>2025OB03437</t>
  </si>
  <si>
    <t>2025PD03481</t>
  </si>
  <si>
    <t>2025OB03438</t>
  </si>
  <si>
    <t>2025PD03482</t>
  </si>
  <si>
    <t>2025OB03448</t>
  </si>
  <si>
    <t>2025PD03560</t>
  </si>
  <si>
    <t>2025OB03508</t>
  </si>
  <si>
    <t>2025PD03485</t>
  </si>
  <si>
    <t>2025OB03451</t>
  </si>
  <si>
    <t>2025PD03562</t>
  </si>
  <si>
    <t>2025OB03510</t>
  </si>
  <si>
    <t>2025PD03486</t>
  </si>
  <si>
    <t>2025OB03452</t>
  </si>
  <si>
    <t>2025PD01206</t>
  </si>
  <si>
    <t>2025OB01124</t>
  </si>
  <si>
    <t>2025PD01207</t>
  </si>
  <si>
    <t>2025OB01125</t>
  </si>
  <si>
    <t>2025PD03564</t>
  </si>
  <si>
    <t>2025OB03512</t>
  </si>
  <si>
    <t>2025PD03487</t>
  </si>
  <si>
    <t>2025OB03453</t>
  </si>
  <si>
    <t>2025PD03558</t>
  </si>
  <si>
    <t>2025OB03506</t>
  </si>
  <si>
    <t>2025PD03483</t>
  </si>
  <si>
    <t>2025OB03449</t>
  </si>
  <si>
    <t>2025PD01208</t>
  </si>
  <si>
    <t>2025OB01126</t>
  </si>
  <si>
    <t>2025PD01130</t>
  </si>
  <si>
    <t>2025OB01121</t>
  </si>
  <si>
    <t>2025PD01131</t>
  </si>
  <si>
    <t>2025OB01122</t>
  </si>
  <si>
    <t>2025PD03559</t>
  </si>
  <si>
    <t>2025OB03507</t>
  </si>
  <si>
    <t>2025PD03484</t>
  </si>
  <si>
    <t>2025OB03450</t>
  </si>
  <si>
    <t>2025PD01383</t>
  </si>
  <si>
    <t>2025OB01433</t>
  </si>
  <si>
    <t>2025PD01384</t>
  </si>
  <si>
    <t>2025OB01434</t>
  </si>
  <si>
    <t>2025PD03561</t>
  </si>
  <si>
    <t>2025OB03509</t>
  </si>
  <si>
    <t>2025PD03563</t>
  </si>
  <si>
    <t>2025OB03511</t>
  </si>
  <si>
    <t>2025PD01209</t>
  </si>
  <si>
    <t>2025OB01127</t>
  </si>
  <si>
    <t>2025PD03565</t>
  </si>
  <si>
    <t>2025OB03513</t>
  </si>
  <si>
    <t>2025PD03488</t>
  </si>
  <si>
    <t>2025OB03454</t>
  </si>
  <si>
    <t>07/03/2025</t>
  </si>
  <si>
    <t>10/03/2025</t>
  </si>
  <si>
    <t>13/03/2025</t>
  </si>
  <si>
    <t>14/03/2025</t>
  </si>
  <si>
    <t>18/03/2025</t>
  </si>
  <si>
    <t>20/03/2025</t>
  </si>
  <si>
    <t>24/03/2025</t>
  </si>
  <si>
    <t>26/03/2025</t>
  </si>
  <si>
    <t>27/03/2025</t>
  </si>
  <si>
    <t>28/03/2025</t>
  </si>
  <si>
    <t>Fevereiro</t>
  </si>
  <si>
    <t>Março</t>
  </si>
  <si>
    <t>2025RE00070</t>
  </si>
  <si>
    <t>Regularizado em Março</t>
  </si>
  <si>
    <t>Regularizado em Abril</t>
  </si>
  <si>
    <t>2025OB03607</t>
  </si>
  <si>
    <t>2025OB03608</t>
  </si>
  <si>
    <t>2025RE00129</t>
  </si>
  <si>
    <t>2025RE00077</t>
  </si>
  <si>
    <t>2025RE00062</t>
  </si>
  <si>
    <t>2025RE00061</t>
  </si>
  <si>
    <t>Folha - 03/2025</t>
  </si>
  <si>
    <t>Folha - 02/2025</t>
  </si>
  <si>
    <t>Folha de 02/2025</t>
  </si>
  <si>
    <t>Regularizada em Março</t>
  </si>
  <si>
    <t>1. Ingressos</t>
  </si>
  <si>
    <t>Valores do Mês</t>
  </si>
  <si>
    <t>Acumulado</t>
  </si>
  <si>
    <t>1.0 IPI - EXP</t>
  </si>
  <si>
    <t>1.1 VAAR</t>
  </si>
  <si>
    <t>1.2 FPE/FPM</t>
  </si>
  <si>
    <t>1.3 ICMS</t>
  </si>
  <si>
    <t>1.4 IPVA</t>
  </si>
  <si>
    <t>1.5 ITCMD</t>
  </si>
  <si>
    <t>1.6 ITR</t>
  </si>
  <si>
    <t>1.7 ORDEM BANC CANCELADA</t>
  </si>
  <si>
    <t>1.8 RESGATE</t>
  </si>
  <si>
    <t>2 Total das Entradas</t>
  </si>
  <si>
    <t>3.0 (-) IPI/Cota DAF Deb</t>
  </si>
  <si>
    <t>3.1 (-) Ordem Bancária Cancelada</t>
  </si>
  <si>
    <t>3. Total Disponibizado( 1 - 3.0- 3.1 - 3.2 -3.3 - 3.4 )</t>
  </si>
  <si>
    <t>4. Saídas</t>
  </si>
  <si>
    <t>5. Total Geral das Saídas</t>
  </si>
  <si>
    <t>6.1 (-) Cota DAF Deb</t>
  </si>
  <si>
    <t>6.2 (-) Aplicações Efetuadas</t>
  </si>
  <si>
    <t>6.3 ( - ) O.B.s Canceladas</t>
  </si>
  <si>
    <t>6.4 Tarifa bancária</t>
  </si>
  <si>
    <t>6.5 (-) Pagamento Folha não regularizado</t>
  </si>
  <si>
    <t>Despesa Total do Mês ( confere com o relatório de execução financeira do SEAFI )</t>
  </si>
  <si>
    <t>CONTA INVESTIMENTO</t>
  </si>
  <si>
    <t>saldo Inicial</t>
  </si>
  <si>
    <t>Aplicação</t>
  </si>
  <si>
    <t>Resgaste</t>
  </si>
  <si>
    <t>Rendimento Bruto</t>
  </si>
  <si>
    <t>Saldo Atual</t>
  </si>
  <si>
    <t>4.3.4  Ajuste VAAR</t>
  </si>
  <si>
    <t>4.3.3  Folha de Pagamento - Férias</t>
  </si>
  <si>
    <t>4.3.2  Folha de Pagamento - Folha 01/2025</t>
  </si>
  <si>
    <t>4.3.1  Folha de Pagamento - Encargos</t>
  </si>
  <si>
    <t>4.3.5  GRU-GUIA RECOLHIM. UNIAO</t>
  </si>
  <si>
    <t>CONCILIAÇÃO BANCÁRIA DO EXTRATO BANCÁRIO - FEVEREIRO DE 2025</t>
  </si>
  <si>
    <t>CONCILIAÇÃO BANCÁRIA DO EXTRATO BANCÁRIO - JANEIRO DE 2025</t>
  </si>
  <si>
    <t>4.3.1  Folha de Pagamento - Encargos  e Identificados por RE</t>
  </si>
  <si>
    <t>3.2 (-) Resgastes efetuados</t>
  </si>
  <si>
    <t>3.3 (-) Ajuste VAAR - FNDE</t>
  </si>
  <si>
    <t>4.1  Cota DAF Deb</t>
  </si>
  <si>
    <t>4.2  O.B.s Canceladas</t>
  </si>
  <si>
    <t>4.4  Tarifa bancária</t>
  </si>
  <si>
    <t>4.5 (-) Aplicações Efetuadas</t>
  </si>
  <si>
    <t>4.5  Aplicações Efetuadas</t>
  </si>
  <si>
    <t>6.6 (+) Regularização de Folha e não Pago</t>
  </si>
  <si>
    <t>4.3.3  Folha de Pagamento - Folha 02/2025</t>
  </si>
  <si>
    <t>4.3.4  Folha de Pagamento - Férias</t>
  </si>
  <si>
    <t>4.3.5  Ajuste VAAR</t>
  </si>
  <si>
    <t>4.3.6  GRU-GUIA RECOLHIM. UNIAO</t>
  </si>
  <si>
    <t>4.4 Tarifa bancária</t>
  </si>
  <si>
    <t>4.3.7  Pagamentos Diversos - Folha</t>
  </si>
  <si>
    <t>6.4 (-) Tarifa bancária</t>
  </si>
  <si>
    <t>6.3 (-) O.B.s Canceladas</t>
  </si>
  <si>
    <t>6.6 (-) Ajustes VAAR</t>
  </si>
  <si>
    <t>6.7 (+) Regularização de Folha e não Pago</t>
  </si>
  <si>
    <t>6.7 (-) Ajuste VAAR - FNDE</t>
  </si>
  <si>
    <t>6.7 (-) Pagamentos Diversos</t>
  </si>
  <si>
    <t>Saldo dos Pagamentos do SEAFI</t>
  </si>
  <si>
    <t>SEAFI a maior</t>
  </si>
  <si>
    <t>SEAFI a menor ( regularizado em março )</t>
  </si>
  <si>
    <t>pago em março</t>
  </si>
  <si>
    <t>COMPOSIÇÃO DE SALDO DO FUNDEB</t>
  </si>
  <si>
    <t>( + ) Ingressos = Transferências Constitucionais - janeiro-2024</t>
  </si>
  <si>
    <t>( + ) Ingressos = Transferências Constitucionais - fevereiro-2024</t>
  </si>
  <si>
    <t>( + ) Ingressos = Rendimentos do FUNDEB - 1º Bimestre</t>
  </si>
  <si>
    <t>( - ) Pagamentos Efetuados = Relatório de Execução Financeira</t>
  </si>
  <si>
    <t>( - ) Pagto Tarifa Bancária não regularizada no SEAFI</t>
  </si>
  <si>
    <t>( + ) Regularização Folha - não Pago</t>
  </si>
  <si>
    <t>( = ) Saldo do SIOPE</t>
  </si>
  <si>
    <t>Diferença a identificar</t>
  </si>
  <si>
    <t>Regularização - Janeiro/2024</t>
  </si>
  <si>
    <t>Pagto - Janeiro/2024</t>
  </si>
  <si>
    <t>Regularização - Fevereiro/2024</t>
  </si>
  <si>
    <t>Pagto - Fevereiro/2024</t>
  </si>
  <si>
    <t>Regularização não Pago</t>
  </si>
  <si>
    <t>1º BIMESTRE DE 2025</t>
  </si>
  <si>
    <t>Dsiponibilidade Financeira em 31/12/2024</t>
  </si>
  <si>
    <t>Dsiponibilidade Financeira em 28/02/2025</t>
  </si>
  <si>
    <t>( - ) Pagamento de Folha não regularizada no mês</t>
  </si>
  <si>
    <t>( - ) Pagamentos Diversos - Folha</t>
  </si>
  <si>
    <t>( - ) GRU Paga e Não Regularizada</t>
  </si>
  <si>
    <t>6.8 (-) GRU Paga e Não Regularizada</t>
  </si>
  <si>
    <t>03/04/2025</t>
  </si>
  <si>
    <t>04/04/2025</t>
  </si>
  <si>
    <t>07/04/2025</t>
  </si>
  <si>
    <t>10/04/2025</t>
  </si>
  <si>
    <t>15/04/2025</t>
  </si>
  <si>
    <t>17/04/2025</t>
  </si>
  <si>
    <t>22/04/2025</t>
  </si>
  <si>
    <t>23/04/2025</t>
  </si>
  <si>
    <t>28/04/2025</t>
  </si>
  <si>
    <t>29/04/2025</t>
  </si>
  <si>
    <t>30/04/2025</t>
  </si>
  <si>
    <t>Resgate Automático</t>
  </si>
  <si>
    <t>2025OB01037</t>
  </si>
  <si>
    <t>BANCO FINASA BMC S/A</t>
  </si>
  <si>
    <t>2025GD00009</t>
  </si>
  <si>
    <t>SIND. DOS SERVIDORES GRUPO GESTÃO ADM DO EST. DO AP - SINSGAAP</t>
  </si>
  <si>
    <t>2025OB03141</t>
  </si>
  <si>
    <t>2025OB03142</t>
  </si>
  <si>
    <t>2025OB03143</t>
  </si>
  <si>
    <t>2025OB03144</t>
  </si>
  <si>
    <t>2025OB03145</t>
  </si>
  <si>
    <t>2025RE00144</t>
  </si>
  <si>
    <t>2025OB03568</t>
  </si>
  <si>
    <t>2025OB03569</t>
  </si>
  <si>
    <t>2025OB03570</t>
  </si>
  <si>
    <t>2025OB03571</t>
  </si>
  <si>
    <t>2025OB03572</t>
  </si>
  <si>
    <t>2025OB03573</t>
  </si>
  <si>
    <t>2025OB03574</t>
  </si>
  <si>
    <t>2025OB03575</t>
  </si>
  <si>
    <t>2025OB03576</t>
  </si>
  <si>
    <t>2025OB03577</t>
  </si>
  <si>
    <t>2025OB03578</t>
  </si>
  <si>
    <t>Detalhamentos</t>
  </si>
  <si>
    <t>2025RE00159</t>
  </si>
  <si>
    <t>2025OB03979</t>
  </si>
  <si>
    <t>2025OB03980</t>
  </si>
  <si>
    <t>2025OB03981</t>
  </si>
  <si>
    <t>2025OB03982</t>
  </si>
  <si>
    <t>2025OB03983</t>
  </si>
  <si>
    <t>2025OB03984</t>
  </si>
  <si>
    <t>2025OB03985</t>
  </si>
  <si>
    <t>2025OB03986</t>
  </si>
  <si>
    <t>2025OB03987</t>
  </si>
  <si>
    <t>2025OB03988</t>
  </si>
  <si>
    <t>2025OB03990</t>
  </si>
  <si>
    <t>2025OB03991</t>
  </si>
  <si>
    <t>2025OB03992</t>
  </si>
  <si>
    <t>2025OB03993</t>
  </si>
  <si>
    <t>2025OB03994</t>
  </si>
  <si>
    <t>2025OB03995</t>
  </si>
  <si>
    <t>2025OB03996</t>
  </si>
  <si>
    <t>2025OB03997</t>
  </si>
  <si>
    <t>2025OB03999</t>
  </si>
  <si>
    <t>2025OB04000</t>
  </si>
  <si>
    <t>2025OB04001</t>
  </si>
  <si>
    <t>2025OB04002</t>
  </si>
  <si>
    <t>2025OB04003</t>
  </si>
  <si>
    <t>2025OB04004</t>
  </si>
  <si>
    <t>2025OB04005</t>
  </si>
  <si>
    <t>2025GD00027</t>
  </si>
  <si>
    <t>2025RE00160</t>
  </si>
  <si>
    <t>2025OB03989</t>
  </si>
  <si>
    <t>2025OB03998</t>
  </si>
  <si>
    <t>AGENCIA DE FOMENTO DO AMAPA S/A AFAP</t>
  </si>
  <si>
    <t>2025RE00358</t>
  </si>
  <si>
    <t>2025OB09291</t>
  </si>
  <si>
    <t>2025OB09292</t>
  </si>
  <si>
    <t>2025OB09293</t>
  </si>
  <si>
    <t>2025OB09294</t>
  </si>
  <si>
    <t>2025OB09295</t>
  </si>
  <si>
    <t>2025PD03583</t>
  </si>
  <si>
    <t>2025PD03584</t>
  </si>
  <si>
    <t>2025PD03673</t>
  </si>
  <si>
    <t>2025PD03677</t>
  </si>
  <si>
    <t>2025PD03678</t>
  </si>
  <si>
    <t>2025PD03679</t>
  </si>
  <si>
    <t>2025PD03680</t>
  </si>
  <si>
    <t>2025PD03681</t>
  </si>
  <si>
    <t>2025PD03682</t>
  </si>
  <si>
    <t>2025PD03683</t>
  </si>
  <si>
    <t>2025PD03693</t>
  </si>
  <si>
    <t>2025PD03694</t>
  </si>
  <si>
    <t>2025PD03695</t>
  </si>
  <si>
    <t>2025PD03698</t>
  </si>
  <si>
    <t>2025PD03704</t>
  </si>
  <si>
    <t>2025PD03706</t>
  </si>
  <si>
    <t>2025PD03707</t>
  </si>
  <si>
    <t>2025PD03709</t>
  </si>
  <si>
    <t>2025PD03710</t>
  </si>
  <si>
    <t>2025PD03711</t>
  </si>
  <si>
    <t>2025PD03712</t>
  </si>
  <si>
    <t>2025PD03713</t>
  </si>
  <si>
    <t>2025PD03716</t>
  </si>
  <si>
    <t>2025PD03718</t>
  </si>
  <si>
    <t>2025PD03719</t>
  </si>
  <si>
    <t>2025PD03721</t>
  </si>
  <si>
    <t>2025PD03722</t>
  </si>
  <si>
    <t>2025PD03723</t>
  </si>
  <si>
    <t>2025PD03724</t>
  </si>
  <si>
    <t>2025PD03726</t>
  </si>
  <si>
    <t>2025PD03727</t>
  </si>
  <si>
    <t>2025PD03828</t>
  </si>
  <si>
    <t>2025PD03831</t>
  </si>
  <si>
    <t>2025PD03835</t>
  </si>
  <si>
    <t>2025PD03838</t>
  </si>
  <si>
    <t>2025PD08332</t>
  </si>
  <si>
    <t>2025OB08957</t>
  </si>
  <si>
    <t>2025PD10009</t>
  </si>
  <si>
    <t>2025OB09825</t>
  </si>
  <si>
    <t>2025PD10020</t>
  </si>
  <si>
    <t>2025OB09826</t>
  </si>
  <si>
    <t>2025PD10024</t>
  </si>
  <si>
    <t>2025OB09829</t>
  </si>
  <si>
    <t>2025PD08333</t>
  </si>
  <si>
    <t>2025OB08958</t>
  </si>
  <si>
    <t>2025PD08334</t>
  </si>
  <si>
    <t>2025OB08959</t>
  </si>
  <si>
    <t>2025PD10031</t>
  </si>
  <si>
    <t>2025OB09832</t>
  </si>
  <si>
    <t>2025PD10034</t>
  </si>
  <si>
    <t>2025OB09833</t>
  </si>
  <si>
    <t>2025PD03845</t>
  </si>
  <si>
    <t>2025PD03848</t>
  </si>
  <si>
    <t>2025PD10038</t>
  </si>
  <si>
    <t>2025OB09834</t>
  </si>
  <si>
    <t>2025PD10026</t>
  </si>
  <si>
    <t>2025OB09830</t>
  </si>
  <si>
    <t>2025PD03849</t>
  </si>
  <si>
    <t>2025PD10028</t>
  </si>
  <si>
    <t>2025OB09831</t>
  </si>
  <si>
    <t>2025PD03851</t>
  </si>
  <si>
    <t>2025PD10040</t>
  </si>
  <si>
    <t>2025OB09835</t>
  </si>
  <si>
    <t>4 - Abril</t>
  </si>
  <si>
    <t>Folha 04-2025</t>
  </si>
  <si>
    <t>CONCILIAÇÃO BANCÁRIA DO EXTRATO BANCÁRIO - MARÇO DE 2025</t>
  </si>
  <si>
    <t>CONCILIAÇÃO BANCÁRIA DO EXTRATO BANCÁRIO - ABRIL DE 2025</t>
  </si>
  <si>
    <t>4.3.5  Folha de Pagamento - Férias</t>
  </si>
  <si>
    <t>4.3.6  Ajuste VAAR</t>
  </si>
  <si>
    <t>4.3.7  GRU-GUIA RECOLHIM. UNIAO</t>
  </si>
  <si>
    <t>4.3.8  Pagamentos Diversos - Folha</t>
  </si>
  <si>
    <t>4.3.4  Folha de Pagamento - Folha 03/2025</t>
  </si>
  <si>
    <t>4.5 Aplicações Efetuadas</t>
  </si>
  <si>
    <t>4.3.6  Folha de Pagamento - Férias</t>
  </si>
  <si>
    <t>4.3.7  Ajuste VAAR</t>
  </si>
  <si>
    <t>4.3.8  GRU-GUIA RECOLHIM. UNIAO</t>
  </si>
  <si>
    <t>4.3.9  Pagamentos Diversos - Folha</t>
  </si>
  <si>
    <t>4.3.5  Folha de Pagamento - Folha 04/2025</t>
  </si>
  <si>
    <t>2º BIMESTRE DE 2025</t>
  </si>
  <si>
    <t>( + ) Ingressos = Rendimentos do FUNDEB - 2º Bimestre</t>
  </si>
  <si>
    <t>( + ) Ingressos = Transferências Constitucionais - Março-2024</t>
  </si>
  <si>
    <t>( + ) Ingressos = Transferências Constitucionais - Abril-2024</t>
  </si>
  <si>
    <t>( - ) Pagto de Folha - não regularizado</t>
  </si>
  <si>
    <t>2025RE00371</t>
  </si>
  <si>
    <t>2025OB10899</t>
  </si>
  <si>
    <t>2025OB10901</t>
  </si>
  <si>
    <t>2025OB10903</t>
  </si>
  <si>
    <t>2025OB10904</t>
  </si>
  <si>
    <t>2025OB10906</t>
  </si>
  <si>
    <t>2025OB10908</t>
  </si>
  <si>
    <t>2025OB10912</t>
  </si>
  <si>
    <t>2025OB10916</t>
  </si>
  <si>
    <t>2025OB10917</t>
  </si>
  <si>
    <t>2025OB10919</t>
  </si>
  <si>
    <t>2025OB10921</t>
  </si>
  <si>
    <t>2025OB10924</t>
  </si>
  <si>
    <t>2025OB10925</t>
  </si>
  <si>
    <t>2025OB10927</t>
  </si>
  <si>
    <t>2025OB10930</t>
  </si>
  <si>
    <t>2025OB10934</t>
  </si>
  <si>
    <t>2025OB10937</t>
  </si>
  <si>
    <t>2025OB10940</t>
  </si>
  <si>
    <t>SINDICATO DOS EMPREG. EM EMP. DE PROC. DE DADOS, INFORM. E TECNOL.D...</t>
  </si>
  <si>
    <t>2025RE00370</t>
  </si>
  <si>
    <t>2025OB10900</t>
  </si>
  <si>
    <t>2025OB10902</t>
  </si>
  <si>
    <t>2025OB10905</t>
  </si>
  <si>
    <t>2025OB10907</t>
  </si>
  <si>
    <t>2025OB10909</t>
  </si>
  <si>
    <t>2025OB10910</t>
  </si>
  <si>
    <t>2025OB10911</t>
  </si>
  <si>
    <t>2025OB10913</t>
  </si>
  <si>
    <t>2025OB10914</t>
  </si>
  <si>
    <t>2025OB10915</t>
  </si>
  <si>
    <t>2025OB10918</t>
  </si>
  <si>
    <t>2025OB10920</t>
  </si>
  <si>
    <t>2025OB10922</t>
  </si>
  <si>
    <t>2025OB10923</t>
  </si>
  <si>
    <t>2025OB10926</t>
  </si>
  <si>
    <t>2025OB10928</t>
  </si>
  <si>
    <t>2025OB10929</t>
  </si>
  <si>
    <t>2025OB10931</t>
  </si>
  <si>
    <t>2025OB10932</t>
  </si>
  <si>
    <t>2025OB10933</t>
  </si>
  <si>
    <t>2025OB10935</t>
  </si>
  <si>
    <t>2025OB10936</t>
  </si>
  <si>
    <t>2025OB10938</t>
  </si>
  <si>
    <t>2025OB10939</t>
  </si>
  <si>
    <t>2025OB10941</t>
  </si>
  <si>
    <t>2025GD00955</t>
  </si>
  <si>
    <t>2025OB12215</t>
  </si>
  <si>
    <t>2025OB12216</t>
  </si>
  <si>
    <t>2025OB12217</t>
  </si>
  <si>
    <t>2025RE00396</t>
  </si>
  <si>
    <t>2025RE00483</t>
  </si>
  <si>
    <t>2025OB15051</t>
  </si>
  <si>
    <t>2025OB15052</t>
  </si>
  <si>
    <t>2025OB15054</t>
  </si>
  <si>
    <t>2025OB15055</t>
  </si>
  <si>
    <t>2025OB15056</t>
  </si>
  <si>
    <t>2025OB15057</t>
  </si>
  <si>
    <t>2025OB15059</t>
  </si>
  <si>
    <t>2025OB15060</t>
  </si>
  <si>
    <t>2025OB15062</t>
  </si>
  <si>
    <t>2025OB15064</t>
  </si>
  <si>
    <t>2025OB15065</t>
  </si>
  <si>
    <t>2025OB15067</t>
  </si>
  <si>
    <t>2025OB15069</t>
  </si>
  <si>
    <t>2025OB15070</t>
  </si>
  <si>
    <t>2025OB15072</t>
  </si>
  <si>
    <t>2025OB15073</t>
  </si>
  <si>
    <t>2025OB15075</t>
  </si>
  <si>
    <t>2025OB15077</t>
  </si>
  <si>
    <t>2025OB15078</t>
  </si>
  <si>
    <t>2025OB15080</t>
  </si>
  <si>
    <t>2025OB15081</t>
  </si>
  <si>
    <t>2025OB15082</t>
  </si>
  <si>
    <t>2025OB15083</t>
  </si>
  <si>
    <t>2025OB15085</t>
  </si>
  <si>
    <t>2025OB15087</t>
  </si>
  <si>
    <t>2025RE00484</t>
  </si>
  <si>
    <t>2025OB15053</t>
  </si>
  <si>
    <t>2025OB15058</t>
  </si>
  <si>
    <t>2025OB15061</t>
  </si>
  <si>
    <t>2025OB15063</t>
  </si>
  <si>
    <t>2025OB15066</t>
  </si>
  <si>
    <t>2025OB15068</t>
  </si>
  <si>
    <t>2025OB15071</t>
  </si>
  <si>
    <t>2025OB15074</t>
  </si>
  <si>
    <t>2025OB15076</t>
  </si>
  <si>
    <t>2025OB15079</t>
  </si>
  <si>
    <t>2025OB15084</t>
  </si>
  <si>
    <t>2025OB15086</t>
  </si>
  <si>
    <t>2025OB15088</t>
  </si>
  <si>
    <t>2025GD00978</t>
  </si>
  <si>
    <t>2025RE00519</t>
  </si>
  <si>
    <t>2025OB15972</t>
  </si>
  <si>
    <t>2025OB16776</t>
  </si>
  <si>
    <t>2025OB16777</t>
  </si>
  <si>
    <t>2025OB16778</t>
  </si>
  <si>
    <t>2025RE00525</t>
  </si>
  <si>
    <t>2025RE00611</t>
  </si>
  <si>
    <t>2025OB18466</t>
  </si>
  <si>
    <t>5 - Maio</t>
  </si>
  <si>
    <t>6 - Junho</t>
  </si>
  <si>
    <t>2025PD10936</t>
  </si>
  <si>
    <t>2025OB09828</t>
  </si>
  <si>
    <t>2025PD10937</t>
  </si>
  <si>
    <t>2025OB09836</t>
  </si>
  <si>
    <t>2025PD10771</t>
  </si>
  <si>
    <t>2025OB09827</t>
  </si>
  <si>
    <t>2025PD11141</t>
  </si>
  <si>
    <t>2025PD11142</t>
  </si>
  <si>
    <t>2025PD11144</t>
  </si>
  <si>
    <t>2025PD11146</t>
  </si>
  <si>
    <t>2025PD11148</t>
  </si>
  <si>
    <t>2025PD11152</t>
  </si>
  <si>
    <t>2025PD11157</t>
  </si>
  <si>
    <t>2025PD11159</t>
  </si>
  <si>
    <t>2025PD11175</t>
  </si>
  <si>
    <t>2025PD11179</t>
  </si>
  <si>
    <t>2025PD11183</t>
  </si>
  <si>
    <t>2025PD11196</t>
  </si>
  <si>
    <t>2025PD11199</t>
  </si>
  <si>
    <t>2025PD11205</t>
  </si>
  <si>
    <t>2025PD11208</t>
  </si>
  <si>
    <t>2025PD11211</t>
  </si>
  <si>
    <t>2025PD11212</t>
  </si>
  <si>
    <t>2025PD11214</t>
  </si>
  <si>
    <t>2025PD11217</t>
  </si>
  <si>
    <t>2025PD11220</t>
  </si>
  <si>
    <t>2025PD11221</t>
  </si>
  <si>
    <t>2025PD11225</t>
  </si>
  <si>
    <t>2025PD11228</t>
  </si>
  <si>
    <t>2025PD11231</t>
  </si>
  <si>
    <t>2025PD11233</t>
  </si>
  <si>
    <t>2025PD11236</t>
  </si>
  <si>
    <t>2025PD11238</t>
  </si>
  <si>
    <t>2025PD11240</t>
  </si>
  <si>
    <t>2025PD11242</t>
  </si>
  <si>
    <t>2025PD11244</t>
  </si>
  <si>
    <t>2025PD11245</t>
  </si>
  <si>
    <t>2025PD11246</t>
  </si>
  <si>
    <t>2025PD12783</t>
  </si>
  <si>
    <t>2025PD11249</t>
  </si>
  <si>
    <t>2025PD11250</t>
  </si>
  <si>
    <t>2025PD11247</t>
  </si>
  <si>
    <t>2025PD11254</t>
  </si>
  <si>
    <t>2025PD11258</t>
  </si>
  <si>
    <t>2025PD11136</t>
  </si>
  <si>
    <t>2025OB14139</t>
  </si>
  <si>
    <t>2025PD17056</t>
  </si>
  <si>
    <t>2025OB16484</t>
  </si>
  <si>
    <t>2025PD18653</t>
  </si>
  <si>
    <t>2025PD17057</t>
  </si>
  <si>
    <t>2025OB16485</t>
  </si>
  <si>
    <t>2025PD15373</t>
  </si>
  <si>
    <t>2025PD15376</t>
  </si>
  <si>
    <t>2025PD15380</t>
  </si>
  <si>
    <t>2025PD15382</t>
  </si>
  <si>
    <t>2025PD15384</t>
  </si>
  <si>
    <t>2025PD15388</t>
  </si>
  <si>
    <t>2025PD15390</t>
  </si>
  <si>
    <t>2025PD15393</t>
  </si>
  <si>
    <t>2025PD15395</t>
  </si>
  <si>
    <t>2025PD15397</t>
  </si>
  <si>
    <t>2025PD15400</t>
  </si>
  <si>
    <t>2025PD15403</t>
  </si>
  <si>
    <t>2025PD15405</t>
  </si>
  <si>
    <t>2025PD15408</t>
  </si>
  <si>
    <t>2025PD15412</t>
  </si>
  <si>
    <t>2025PD15421</t>
  </si>
  <si>
    <t>2025PD15423</t>
  </si>
  <si>
    <t>2025PD15426</t>
  </si>
  <si>
    <t>2025PD15429</t>
  </si>
  <si>
    <t>2025PD15454</t>
  </si>
  <si>
    <t>2025PD15457</t>
  </si>
  <si>
    <t>2025PD15463</t>
  </si>
  <si>
    <t>2025PD15464</t>
  </si>
  <si>
    <t>2025PD15469</t>
  </si>
  <si>
    <t>2025PD15472</t>
  </si>
  <si>
    <t>2025PD15475</t>
  </si>
  <si>
    <t>2025PD15477</t>
  </si>
  <si>
    <t>2025PD15479</t>
  </si>
  <si>
    <t>2025PD15481</t>
  </si>
  <si>
    <t>2025PD15485</t>
  </si>
  <si>
    <t>2025PD17072</t>
  </si>
  <si>
    <t>2025PD15489</t>
  </si>
  <si>
    <t>2025PD15494</t>
  </si>
  <si>
    <t>2025PD15487</t>
  </si>
  <si>
    <t>2025PD17036</t>
  </si>
  <si>
    <t>2025OB16486</t>
  </si>
  <si>
    <t>2025PD18797</t>
  </si>
  <si>
    <t>2025OB18546</t>
  </si>
  <si>
    <t>2025PD18799</t>
  </si>
  <si>
    <t>2025OB18520</t>
  </si>
  <si>
    <t>2025PD18780</t>
  </si>
  <si>
    <t>2025OB18544</t>
  </si>
  <si>
    <t>2025PD18783</t>
  </si>
  <si>
    <t>2025OB18545</t>
  </si>
  <si>
    <t>2025PD18787</t>
  </si>
  <si>
    <t>2025OB18513</t>
  </si>
  <si>
    <t>2025PD12784</t>
  </si>
  <si>
    <t>2025PD12788</t>
  </si>
  <si>
    <t>2025PD17073</t>
  </si>
  <si>
    <t>2025PD17074</t>
  </si>
  <si>
    <t>2025PD17039</t>
  </si>
  <si>
    <t>2025OB16489</t>
  </si>
  <si>
    <t>2025PD18790</t>
  </si>
  <si>
    <t>2025OB18516</t>
  </si>
  <si>
    <t>2025PD17040</t>
  </si>
  <si>
    <t>2025OB16490</t>
  </si>
  <si>
    <t>2025PD18792</t>
  </si>
  <si>
    <t>2025OB18517</t>
  </si>
  <si>
    <t>2025PD11263</t>
  </si>
  <si>
    <t>2025PD11268</t>
  </si>
  <si>
    <t>2025PD11292</t>
  </si>
  <si>
    <t>2025PD11294</t>
  </si>
  <si>
    <t>2025PD15498</t>
  </si>
  <si>
    <t>2025PD15501</t>
  </si>
  <si>
    <t>2025PD16918</t>
  </si>
  <si>
    <t>2025PD17041</t>
  </si>
  <si>
    <t>2025OB16491</t>
  </si>
  <si>
    <t>2025PD18793</t>
  </si>
  <si>
    <t>2025OB18518</t>
  </si>
  <si>
    <t>2025PD17037</t>
  </si>
  <si>
    <t>2025OB16487</t>
  </si>
  <si>
    <t>2025PD18800</t>
  </si>
  <si>
    <t>2025OB18521</t>
  </si>
  <si>
    <t>2025PD18788</t>
  </si>
  <si>
    <t>2025OB18514</t>
  </si>
  <si>
    <t>2025PD11280</t>
  </si>
  <si>
    <t>2025PD15502</t>
  </si>
  <si>
    <t>2025PD17038</t>
  </si>
  <si>
    <t>2025OB16488</t>
  </si>
  <si>
    <t>2025PD18801</t>
  </si>
  <si>
    <t>2025OB18522</t>
  </si>
  <si>
    <t>2025PD18789</t>
  </si>
  <si>
    <t>2025OB18515</t>
  </si>
  <si>
    <t>2025PD11281</t>
  </si>
  <si>
    <t>2025PD15505</t>
  </si>
  <si>
    <t>2025PD17042</t>
  </si>
  <si>
    <t>2025OB16492</t>
  </si>
  <si>
    <t>2025PD18794</t>
  </si>
  <si>
    <t>2025OB18519</t>
  </si>
  <si>
    <t>05/05/2025</t>
  </si>
  <si>
    <t>08/05/2025</t>
  </si>
  <si>
    <t>09/05/2025</t>
  </si>
  <si>
    <t>16/05/2025</t>
  </si>
  <si>
    <t>19/05/2025</t>
  </si>
  <si>
    <t>20/05/2025</t>
  </si>
  <si>
    <t>23/05/2025</t>
  </si>
  <si>
    <t>29/05/2025</t>
  </si>
  <si>
    <t>30/05/2025</t>
  </si>
  <si>
    <t>Histórico</t>
  </si>
  <si>
    <t>Abril</t>
  </si>
  <si>
    <t>03/06/2025</t>
  </si>
  <si>
    <t>05/06/2025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</si>
  <si>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</si>
  <si>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</si>
  <si>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</si>
  <si>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</si>
  <si>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</si>
  <si>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</si>
  <si>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</si>
  <si>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20/06/2025</t>
  </si>
  <si>
    <t>26/06/2025</t>
  </si>
  <si>
    <t>27/06/2025</t>
  </si>
  <si>
    <t>30/06/2025</t>
  </si>
  <si>
    <t>Folha 05/2025</t>
  </si>
  <si>
    <t>Folha - 04/2024</t>
  </si>
  <si>
    <t>Regularizado em Maio</t>
  </si>
  <si>
    <t>Extrato de Abril</t>
  </si>
  <si>
    <t>Regularizado em Junho</t>
  </si>
  <si>
    <t>Adiant. 13º Salário</t>
  </si>
  <si>
    <t>Salário 06/2025</t>
  </si>
  <si>
    <t>Extrato de Maio</t>
  </si>
  <si>
    <t>Extrato de Junho</t>
  </si>
  <si>
    <t>CONCILIAÇÃO BANCÁRIA DO EXTRATO BANCÁRIO - MAIO DE 2025</t>
  </si>
  <si>
    <t>4.3.1  Folha de Pagamento e Encargos - Identificados por RE</t>
  </si>
  <si>
    <t>4.3.6  Folha de Pagamento - Folha 05/2025</t>
  </si>
  <si>
    <t>4.3.7  Folha de Pagamento - Férias</t>
  </si>
  <si>
    <t>4.3.8  Ajuste VAAR</t>
  </si>
  <si>
    <t>4.3.9  GRU-GUIA RECOLHIM. UNIAO</t>
  </si>
  <si>
    <t>4.3.10  Pagamentos Diversos - Folha</t>
  </si>
  <si>
    <t>6.3 (-) O.B.s Canceladas (2025GD00955)</t>
  </si>
  <si>
    <t>6.8.1 (-) GRU Paga e Não Regularizada</t>
  </si>
  <si>
    <t>6.8.2 (+) Regularização de GRU Paga em Abril</t>
  </si>
  <si>
    <t>6.8.3 (+) Regularização de GRU Não Paga em Maio</t>
  </si>
  <si>
    <t>ok</t>
  </si>
  <si>
    <t>Extrato de Março</t>
  </si>
  <si>
    <t>( - ) Folha Regularizada e não Paga</t>
  </si>
  <si>
    <t>OK</t>
  </si>
  <si>
    <t>CONCILIAÇÃO BANCÁRIA DO EXTRATO BANCÁRIO - JUNHO DE 2025</t>
  </si>
  <si>
    <t>4.3.8  Folha de Pagamento - Férias</t>
  </si>
  <si>
    <t>4.3.9  Ajuste VAAR</t>
  </si>
  <si>
    <t>4.3.10  GRU-GUIA RECOLHIM. UNIAO</t>
  </si>
  <si>
    <t>4.3.11  Pagamentos Diversos - Folha</t>
  </si>
  <si>
    <t>4.3.7  Folha de Pagamento - Folha 06/2025</t>
  </si>
  <si>
    <t>4.3.8  Folha de Pagamento - Adiantamento do 13º Salário</t>
  </si>
  <si>
    <t>( + ) Ingressos = Rendimentos do FUNDEB - 3º Bimestre</t>
  </si>
  <si>
    <t>Dsiponibilidade Financeira em 30/06/2025</t>
  </si>
  <si>
    <t>3º BIMESTRE DE 2025</t>
  </si>
  <si>
    <t>02/07/2025</t>
  </si>
  <si>
    <t>03/07/2025</t>
  </si>
  <si>
    <t>04/07/2025</t>
  </si>
  <si>
    <t>08/07/2025</t>
  </si>
  <si>
    <t>09/07/2025</t>
  </si>
  <si>
    <t>10/07/2025</t>
  </si>
  <si>
    <t>16/07/2025</t>
  </si>
  <si>
    <t>17/07/2025</t>
  </si>
  <si>
    <t>18/07/2025</t>
  </si>
  <si>
    <t>24/07/2025</t>
  </si>
  <si>
    <t>29/07/2025</t>
  </si>
  <si>
    <t>30/07/2025</t>
  </si>
  <si>
    <t>06/08/2025</t>
  </si>
  <si>
    <t>08/08/2025</t>
  </si>
  <si>
    <t>12/08/2025</t>
  </si>
  <si>
    <t>15/08/2025</t>
  </si>
  <si>
    <t>18/08/2025</t>
  </si>
  <si>
    <t>20/08/2025</t>
  </si>
  <si>
    <t>28/08/2025</t>
  </si>
  <si>
    <t>29/08/2025</t>
  </si>
  <si>
    <t>2025GD01012</t>
  </si>
  <si>
    <t>2025RE00633</t>
  </si>
  <si>
    <t>2025OB18951</t>
  </si>
  <si>
    <t>2025OB18952</t>
  </si>
  <si>
    <t>2025OB18953</t>
  </si>
  <si>
    <t>2025OB18955</t>
  </si>
  <si>
    <t>2025OB18956</t>
  </si>
  <si>
    <t>2025OB18957</t>
  </si>
  <si>
    <t>2025OB18959</t>
  </si>
  <si>
    <t>2025OB18961</t>
  </si>
  <si>
    <t>2025OB18963</t>
  </si>
  <si>
    <t>2025OB18964</t>
  </si>
  <si>
    <t>2025OB18965</t>
  </si>
  <si>
    <t>2025OB18966</t>
  </si>
  <si>
    <t>2025OB18968</t>
  </si>
  <si>
    <t>2025OB18970</t>
  </si>
  <si>
    <t>2025OB18971</t>
  </si>
  <si>
    <t>2025OB18973</t>
  </si>
  <si>
    <t>2025OB18975</t>
  </si>
  <si>
    <t>2025OB18978</t>
  </si>
  <si>
    <t>2025OB18980</t>
  </si>
  <si>
    <t>2025OB18981</t>
  </si>
  <si>
    <t>2025OB18982</t>
  </si>
  <si>
    <t>2025OB18983</t>
  </si>
  <si>
    <t>2025OB18984</t>
  </si>
  <si>
    <t>2025OB18985</t>
  </si>
  <si>
    <t>2025OB18986</t>
  </si>
  <si>
    <t>2025RE00634</t>
  </si>
  <si>
    <t>2025OB18954</t>
  </si>
  <si>
    <t>2025OB18958</t>
  </si>
  <si>
    <t>2025OB18960</t>
  </si>
  <si>
    <t>2025OB18962</t>
  </si>
  <si>
    <t>2025OB18967</t>
  </si>
  <si>
    <t>2025OB18969</t>
  </si>
  <si>
    <t>2025OB18972</t>
  </si>
  <si>
    <t>2025OB18974</t>
  </si>
  <si>
    <t>2025OB18976</t>
  </si>
  <si>
    <t>2025OB18977</t>
  </si>
  <si>
    <t>2025OB18979</t>
  </si>
  <si>
    <t>2025OB18987</t>
  </si>
  <si>
    <t>2025RE00638</t>
  </si>
  <si>
    <t>2025OB19019</t>
  </si>
  <si>
    <t>2025OB19020</t>
  </si>
  <si>
    <t>2025OB19021</t>
  </si>
  <si>
    <t>2025OB19022</t>
  </si>
  <si>
    <t>2025RE00703</t>
  </si>
  <si>
    <t>2025OB20787</t>
  </si>
  <si>
    <t>2025OB20788</t>
  </si>
  <si>
    <t>2025OB20789</t>
  </si>
  <si>
    <t>2025OB20790</t>
  </si>
  <si>
    <t>2025RE00726</t>
  </si>
  <si>
    <t>2025OB21385</t>
  </si>
  <si>
    <t>2025OB21386</t>
  </si>
  <si>
    <t>2025OB21387</t>
  </si>
  <si>
    <t>2025OB21388</t>
  </si>
  <si>
    <t>2025OB21389</t>
  </si>
  <si>
    <t>2025RE00739</t>
  </si>
  <si>
    <t>2025GD01019</t>
  </si>
  <si>
    <t>2025OB21890</t>
  </si>
  <si>
    <t>2025OB21892</t>
  </si>
  <si>
    <t>2025OB21893</t>
  </si>
  <si>
    <t>2025OB21895</t>
  </si>
  <si>
    <t>2025OB21897</t>
  </si>
  <si>
    <t>2025OB21898</t>
  </si>
  <si>
    <t>2025OB21900</t>
  </si>
  <si>
    <t>2025OB21902</t>
  </si>
  <si>
    <t>2025OB21903</t>
  </si>
  <si>
    <t>2025OB21905</t>
  </si>
  <si>
    <t>2025OB21906</t>
  </si>
  <si>
    <t>2025OB21908</t>
  </si>
  <si>
    <t>2025OB21910</t>
  </si>
  <si>
    <t>2025OB21911</t>
  </si>
  <si>
    <t>2025OB21912</t>
  </si>
  <si>
    <t>2025OB21913</t>
  </si>
  <si>
    <t>2025OB21915</t>
  </si>
  <si>
    <t>2025OB21916</t>
  </si>
  <si>
    <t>2025OB21918</t>
  </si>
  <si>
    <t>2025OB21919</t>
  </si>
  <si>
    <t>2025OB21921</t>
  </si>
  <si>
    <t>2025OB21923</t>
  </si>
  <si>
    <t>2025OB21924</t>
  </si>
  <si>
    <t>2025OB21925</t>
  </si>
  <si>
    <t>2025OB21926</t>
  </si>
  <si>
    <t>2025RE00740</t>
  </si>
  <si>
    <t>2025OB21891</t>
  </si>
  <si>
    <t>2025OB21894</t>
  </si>
  <si>
    <t>2025OB21896</t>
  </si>
  <si>
    <t>2025OB21899</t>
  </si>
  <si>
    <t>2025OB21901</t>
  </si>
  <si>
    <t>2025OB21904</t>
  </si>
  <si>
    <t>2025OB21907</t>
  </si>
  <si>
    <t>2025OB21909</t>
  </si>
  <si>
    <t>2025OB21914</t>
  </si>
  <si>
    <t>2025OB21917</t>
  </si>
  <si>
    <t>2025OB21920</t>
  </si>
  <si>
    <t>2025OB21922</t>
  </si>
  <si>
    <t>2025OB21927</t>
  </si>
  <si>
    <t>2025RE00756</t>
  </si>
  <si>
    <t>2025OB23046</t>
  </si>
  <si>
    <t>2025OB23047</t>
  </si>
  <si>
    <t>2025OB23048</t>
  </si>
  <si>
    <t>Resgate</t>
  </si>
  <si>
    <t xml:space="preserve">IPI/EXPORTACAO - Cota Débito       </t>
  </si>
  <si>
    <t>OB Cancelada</t>
  </si>
  <si>
    <t>Folha de Julho/2025</t>
  </si>
  <si>
    <t>Folha de Agosto/2025</t>
  </si>
  <si>
    <t>7 - Julho</t>
  </si>
  <si>
    <t>8 - Agosto</t>
  </si>
  <si>
    <t>2025PD19018</t>
  </si>
  <si>
    <t>2025OB18726</t>
  </si>
  <si>
    <t>2025PD19236</t>
  </si>
  <si>
    <t>2025PD19237</t>
  </si>
  <si>
    <t>2025PD19239</t>
  </si>
  <si>
    <t>2025PD19240</t>
  </si>
  <si>
    <t>2025PD19241</t>
  </si>
  <si>
    <t>2025PD19243</t>
  </si>
  <si>
    <t>2025PD19244</t>
  </si>
  <si>
    <t>2025PD19245</t>
  </si>
  <si>
    <t>2025PD19246</t>
  </si>
  <si>
    <t>2025PD19247</t>
  </si>
  <si>
    <t>2025PD19248</t>
  </si>
  <si>
    <t>2025PD19250</t>
  </si>
  <si>
    <t>2025PD19251</t>
  </si>
  <si>
    <t>2025PD19252</t>
  </si>
  <si>
    <t>2025PD19253</t>
  </si>
  <si>
    <t>2025PD19254</t>
  </si>
  <si>
    <t>2025PD19255</t>
  </si>
  <si>
    <t>2025PD19256</t>
  </si>
  <si>
    <t>2025PD19258</t>
  </si>
  <si>
    <t>2025PD19260</t>
  </si>
  <si>
    <t>2025PD19267</t>
  </si>
  <si>
    <t>2025PD19270</t>
  </si>
  <si>
    <t>2025PD19279</t>
  </si>
  <si>
    <t>2025PD19283</t>
  </si>
  <si>
    <t>2025PD19284</t>
  </si>
  <si>
    <t>2025PD19285</t>
  </si>
  <si>
    <t>2025PD19286</t>
  </si>
  <si>
    <t>2025PD19287</t>
  </si>
  <si>
    <t>2025PD19288</t>
  </si>
  <si>
    <t>2025PD21021</t>
  </si>
  <si>
    <t>2025PD19290</t>
  </si>
  <si>
    <t>2025PD19291</t>
  </si>
  <si>
    <t>2025PD19289</t>
  </si>
  <si>
    <t>2025PD21503</t>
  </si>
  <si>
    <t>2025OB21819</t>
  </si>
  <si>
    <t>2025PD21065</t>
  </si>
  <si>
    <t>2025PD21505</t>
  </si>
  <si>
    <t>2025OB21822</t>
  </si>
  <si>
    <t>2025PD22042</t>
  </si>
  <si>
    <t>2025OB21820</t>
  </si>
  <si>
    <t>2025PD22196</t>
  </si>
  <si>
    <t>2025PD22043</t>
  </si>
  <si>
    <t>2025OB21821</t>
  </si>
  <si>
    <t>2025PD22329</t>
  </si>
  <si>
    <t>2025PD22330</t>
  </si>
  <si>
    <t>2025PD22331</t>
  </si>
  <si>
    <t>2025PD22332</t>
  </si>
  <si>
    <t>2025PD22333</t>
  </si>
  <si>
    <t>2025PD22334</t>
  </si>
  <si>
    <t>2025PD22335</t>
  </si>
  <si>
    <t>2025PD22336</t>
  </si>
  <si>
    <t>2025PD22337</t>
  </si>
  <si>
    <t>2025PD22338</t>
  </si>
  <si>
    <t>2025PD22339</t>
  </si>
  <si>
    <t>2025PD22340</t>
  </si>
  <si>
    <t>2025PD22341</t>
  </si>
  <si>
    <t>2025PD22342</t>
  </si>
  <si>
    <t>2025PD22343</t>
  </si>
  <si>
    <t>2025PD22344</t>
  </si>
  <si>
    <t>2025PD22345</t>
  </si>
  <si>
    <t>2025PD22346</t>
  </si>
  <si>
    <t>2025PD22347</t>
  </si>
  <si>
    <t>2025PD22348</t>
  </si>
  <si>
    <t>2025PD22349</t>
  </si>
  <si>
    <t>2025PD22350</t>
  </si>
  <si>
    <t>2025PD22352</t>
  </si>
  <si>
    <t>2025PD22353</t>
  </si>
  <si>
    <t>2025PD22354</t>
  </si>
  <si>
    <t>2025PD22355</t>
  </si>
  <si>
    <t>2025PD22356</t>
  </si>
  <si>
    <t>2025PD22357</t>
  </si>
  <si>
    <t>2025PD22358</t>
  </si>
  <si>
    <t>2025PD22359</t>
  </si>
  <si>
    <t>2025PD23222</t>
  </si>
  <si>
    <t>2025PD22047</t>
  </si>
  <si>
    <t>2025OB21825</t>
  </si>
  <si>
    <t>2025PD25824</t>
  </si>
  <si>
    <t>2025OB25360</t>
  </si>
  <si>
    <t>2025PD25825</t>
  </si>
  <si>
    <t>2025OB25361</t>
  </si>
  <si>
    <t>2025PD25826</t>
  </si>
  <si>
    <t>2025OB25362</t>
  </si>
  <si>
    <t>2025PD21022</t>
  </si>
  <si>
    <t>2025PD21023</t>
  </si>
  <si>
    <t>2025PD23225</t>
  </si>
  <si>
    <t>2025PD23230</t>
  </si>
  <si>
    <t>2025PD22053</t>
  </si>
  <si>
    <t>2025OB21828</t>
  </si>
  <si>
    <t>2025PD25829</t>
  </si>
  <si>
    <t>2025OB25365</t>
  </si>
  <si>
    <t>2025PD22056</t>
  </si>
  <si>
    <t>2025OB21829</t>
  </si>
  <si>
    <t>2025PD25830</t>
  </si>
  <si>
    <t>2025OB25366</t>
  </si>
  <si>
    <t>2025PD19292</t>
  </si>
  <si>
    <t>2025PD19293</t>
  </si>
  <si>
    <t>2025PD22362</t>
  </si>
  <si>
    <t>2025PD22363</t>
  </si>
  <si>
    <t>2025PD22060</t>
  </si>
  <si>
    <t>2025OB21830</t>
  </si>
  <si>
    <t>2025PD25831</t>
  </si>
  <si>
    <t>2025OB25367</t>
  </si>
  <si>
    <t>2025PD21508</t>
  </si>
  <si>
    <t>2025OB21823</t>
  </si>
  <si>
    <t>2025PD22049</t>
  </si>
  <si>
    <t>2025OB21826</t>
  </si>
  <si>
    <t>2025PD25827</t>
  </si>
  <si>
    <t>2025OB25363</t>
  </si>
  <si>
    <t>2025PD19295</t>
  </si>
  <si>
    <t>2025PD22364</t>
  </si>
  <si>
    <t>2025PD21510</t>
  </si>
  <si>
    <t>2025OB21824</t>
  </si>
  <si>
    <t>2025PD22360</t>
  </si>
  <si>
    <t>2025PD22361</t>
  </si>
  <si>
    <t>2025PD22051</t>
  </si>
  <si>
    <t>2025OB21827</t>
  </si>
  <si>
    <t>2025PD25828</t>
  </si>
  <si>
    <t>2025OB25364</t>
  </si>
  <si>
    <t>2025PD19296</t>
  </si>
  <si>
    <t>2025PD22365</t>
  </si>
  <si>
    <t>2025PD22063</t>
  </si>
  <si>
    <t>2025OB21831</t>
  </si>
  <si>
    <t>2025PD25832</t>
  </si>
  <si>
    <t>2025OB25368</t>
  </si>
  <si>
    <t>Regularizado em agosto</t>
  </si>
  <si>
    <t>GRU - Pensão Alimentícia</t>
  </si>
  <si>
    <t>CONCILIAÇÃO BANCÁRIA DO EXTRATO BANCÁRIO - JULHO DE 2025</t>
  </si>
  <si>
    <t>CONCILIAÇÃO BANCÁRIA DO EXTRATO BANCÁRIO - AGOSTO DE 2025</t>
  </si>
  <si>
    <t>4.3.8  Folha de Pagamento - Folha 07/2025</t>
  </si>
  <si>
    <t>4.3.9  Folha de Pagamento - Férias</t>
  </si>
  <si>
    <t>4.3.10  Folha de Pagamento - Adiantamento do 13º Salário</t>
  </si>
  <si>
    <t>4.3.11  Ajuste VAAR</t>
  </si>
  <si>
    <t>4.3.12  GRU-GUIA RECOLHIM. UNIAO</t>
  </si>
  <si>
    <t>4.3.13  Pagamentos Diversos - Folha</t>
  </si>
  <si>
    <t>4.3.9  Folha de Pagamento - Folha 08/2025</t>
  </si>
  <si>
    <t>4.3.10  Folha de Pagamento - Férias</t>
  </si>
  <si>
    <t>4.3.11  Folha de Pagamento - Adiantamento do 13º Salário</t>
  </si>
  <si>
    <t>4.3.12  Ajuste VAAR</t>
  </si>
  <si>
    <t>4.3.13  GRU-GUIA RECOLHIM. UNIAO</t>
  </si>
  <si>
    <t>4.3.14  Pagamentos Diversos - Folha</t>
  </si>
  <si>
    <t>4º BIMESTRE DE 2025</t>
  </si>
  <si>
    <t>( + ) Ingressos = Transferências Constitucionais - janeiro-2025</t>
  </si>
  <si>
    <t>( + ) Ingressos = Transferências Constitucionais - fevereiro-2025</t>
  </si>
  <si>
    <t>( + ) Ingressos = Transferências Constitucionais - Março-2025</t>
  </si>
  <si>
    <t>( + ) Ingressos = Transferências Constitucionais - Abril-2025</t>
  </si>
  <si>
    <t>( + ) Ingressos = Transferências Constitucionais - Maio-2025</t>
  </si>
  <si>
    <t>( + ) Ingressos = Transferências Constitucionais - Junho-2025</t>
  </si>
  <si>
    <t>( + ) Ingressos = Transferências Constitucionais - Julho-2025</t>
  </si>
  <si>
    <t>( + ) Ingressos = Transferências Constitucionais - Agosto-2025</t>
  </si>
  <si>
    <t>( + ) Ingressos = Rendimentos do FUNDEB - 1º Bimestre-2025</t>
  </si>
  <si>
    <t>( + ) Ingressos = Rendimentos do FUNDEB - 2º Bimestre-2025</t>
  </si>
  <si>
    <t>( + ) Ingressos = Rendimentos do FUNDEB - 3º Bimestre-2025</t>
  </si>
  <si>
    <t>( + ) Ingressos = Rendimentos do FUNDEB - 4º Bimestre-2025</t>
  </si>
  <si>
    <t>Dsiponibilidade Financeira em 31/08/2025</t>
  </si>
  <si>
    <t>( + ) Pagto de Folha - não regularizado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</si>
</sst>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4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8"/>
      <color indexed="63"/>
      <name val="Calibri"/>
      <family val="2"/>
      <scheme val="minor"/>
    </font>
    <font>
      <b/>
      <sz val="10"/>
      <color indexed="63"/>
      <name val="Arial"/>
      <family val="2"/>
    </font>
    <font>
      <b/>
      <sz val="10"/>
      <name val="Arial"/>
      <family val="2"/>
    </font>
    <font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indexed="63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72"/>
      <name val="Arial"/>
      <family val="2"/>
    </font>
    <font>
      <b/>
      <sz val="11"/>
      <color indexed="63"/>
      <name val="Calibri"/>
      <family val="2"/>
      <scheme val="minor"/>
    </font>
    <font>
      <sz val="11"/>
      <color indexed="7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2"/>
      <color indexed="63"/>
      <name val="Arial"/>
      <family val="2"/>
    </font>
    <font>
      <sz val="12"/>
      <color indexed="72"/>
      <name val="Tahoma"/>
      <family val="2"/>
    </font>
    <font>
      <b/>
      <sz val="12"/>
      <color indexed="72"/>
      <name val="Arial"/>
      <family val="2"/>
    </font>
    <font>
      <b/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indexed="7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EEEEEE"/>
      </patternFill>
    </fill>
    <fill>
      <patternFill patternType="solid">
        <fgColor rgb="FFFFFFFF"/>
        <bgColor rgb="FFEEEEEE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5" fillId="0" borderId="0" applyNumberFormat="0" applyFont="0" applyFill="0" applyBorder="0" applyAlignment="0" applyProtection="0"/>
    <xf numFmtId="44" fontId="6" fillId="0" borderId="0" applyFont="0" applyFill="0" applyBorder="0" applyAlignment="0" applyProtection="0"/>
    <xf numFmtId="0" fontId="3" fillId="0" borderId="0"/>
    <xf numFmtId="0" fontId="33" fillId="0" borderId="0" applyNumberFormat="0" applyFont="0" applyFill="0" applyBorder="0" applyAlignment="0" applyProtection="0"/>
  </cellStyleXfs>
  <cellXfs count="42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43" fontId="0" fillId="4" borderId="0" xfId="1" applyFont="1" applyFill="1"/>
    <xf numFmtId="0" fontId="0" fillId="5" borderId="0" xfId="0" applyFill="1" applyAlignment="1">
      <alignment horizontal="center"/>
    </xf>
    <xf numFmtId="0" fontId="0" fillId="5" borderId="0" xfId="0" applyFill="1"/>
    <xf numFmtId="43" fontId="0" fillId="5" borderId="0" xfId="1" applyFont="1" applyFill="1"/>
    <xf numFmtId="0" fontId="0" fillId="6" borderId="0" xfId="0" applyFill="1"/>
    <xf numFmtId="0" fontId="0" fillId="6" borderId="0" xfId="0" applyFill="1" applyAlignment="1">
      <alignment horizontal="center"/>
    </xf>
    <xf numFmtId="43" fontId="0" fillId="6" borderId="0" xfId="1" applyFont="1" applyFill="1"/>
    <xf numFmtId="43" fontId="0" fillId="0" borderId="0" xfId="0" applyNumberFormat="1"/>
    <xf numFmtId="0" fontId="0" fillId="7" borderId="0" xfId="0" applyFill="1" applyAlignment="1">
      <alignment horizontal="center"/>
    </xf>
    <xf numFmtId="0" fontId="0" fillId="7" borderId="0" xfId="0" applyFill="1"/>
    <xf numFmtId="43" fontId="0" fillId="7" borderId="0" xfId="1" applyFont="1" applyFill="1"/>
    <xf numFmtId="0" fontId="0" fillId="8" borderId="0" xfId="0" applyFill="1" applyAlignment="1">
      <alignment horizontal="center"/>
    </xf>
    <xf numFmtId="0" fontId="0" fillId="8" borderId="0" xfId="0" applyFill="1"/>
    <xf numFmtId="43" fontId="0" fillId="8" borderId="0" xfId="1" applyFont="1" applyFill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3" fontId="0" fillId="9" borderId="0" xfId="1" applyFont="1" applyFill="1"/>
    <xf numFmtId="0" fontId="11" fillId="0" borderId="0" xfId="2" applyFont="1"/>
    <xf numFmtId="43" fontId="11" fillId="0" borderId="0" xfId="3" applyFont="1"/>
    <xf numFmtId="0" fontId="11" fillId="0" borderId="0" xfId="2" applyFont="1" applyAlignment="1">
      <alignment horizontal="center"/>
    </xf>
    <xf numFmtId="0" fontId="12" fillId="5" borderId="1" xfId="2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 wrapText="1"/>
    </xf>
    <xf numFmtId="0" fontId="12" fillId="10" borderId="1" xfId="2" applyFont="1" applyFill="1" applyBorder="1" applyAlignment="1">
      <alignment horizontal="center" vertical="center" wrapText="1"/>
    </xf>
    <xf numFmtId="43" fontId="12" fillId="10" borderId="1" xfId="3" applyFont="1" applyFill="1" applyBorder="1" applyAlignment="1" applyProtection="1">
      <alignment horizontal="right"/>
    </xf>
    <xf numFmtId="43" fontId="12" fillId="0" borderId="0" xfId="2" applyNumberFormat="1" applyFont="1"/>
    <xf numFmtId="0" fontId="12" fillId="0" borderId="0" xfId="2" applyFont="1"/>
    <xf numFmtId="0" fontId="11" fillId="0" borderId="1" xfId="2" applyFont="1" applyBorder="1"/>
    <xf numFmtId="14" fontId="11" fillId="0" borderId="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11" borderId="1" xfId="2" applyFont="1" applyFill="1" applyBorder="1" applyAlignment="1">
      <alignment horizontal="center" vertical="center" wrapText="1"/>
    </xf>
    <xf numFmtId="43" fontId="11" fillId="11" borderId="1" xfId="3" applyFont="1" applyFill="1" applyBorder="1" applyAlignment="1" applyProtection="1">
      <alignment horizontal="right"/>
    </xf>
    <xf numFmtId="0" fontId="13" fillId="0" borderId="1" xfId="2" applyFont="1" applyBorder="1"/>
    <xf numFmtId="0" fontId="13" fillId="0" borderId="1" xfId="2" applyFont="1" applyBorder="1" applyAlignment="1">
      <alignment horizontal="center"/>
    </xf>
    <xf numFmtId="0" fontId="13" fillId="11" borderId="1" xfId="2" applyFont="1" applyFill="1" applyBorder="1" applyAlignment="1">
      <alignment horizontal="center" vertical="center" wrapText="1"/>
    </xf>
    <xf numFmtId="43" fontId="13" fillId="11" borderId="1" xfId="3" applyFont="1" applyFill="1" applyBorder="1" applyAlignment="1" applyProtection="1">
      <alignment horizontal="right"/>
    </xf>
    <xf numFmtId="0" fontId="14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0" fontId="12" fillId="0" borderId="0" xfId="2" applyFont="1" applyAlignment="1">
      <alignment vertical="center"/>
    </xf>
    <xf numFmtId="43" fontId="11" fillId="0" borderId="1" xfId="3" applyFont="1" applyFill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6" fillId="0" borderId="2" xfId="4" applyNumberFormat="1" applyFont="1" applyFill="1" applyBorder="1" applyAlignment="1">
      <alignment horizontal="center" vertical="top" wrapText="1"/>
    </xf>
    <xf numFmtId="0" fontId="11" fillId="0" borderId="1" xfId="2" applyFont="1" applyBorder="1" applyAlignment="1">
      <alignment horizontal="center" vertical="center" wrapText="1"/>
    </xf>
    <xf numFmtId="43" fontId="11" fillId="0" borderId="1" xfId="3" applyFont="1" applyFill="1" applyBorder="1" applyAlignment="1" applyProtection="1">
      <alignment horizontal="right"/>
    </xf>
    <xf numFmtId="43" fontId="11" fillId="0" borderId="1" xfId="3" applyFont="1" applyFill="1" applyBorder="1" applyAlignment="1">
      <alignment horizontal="left" vertical="center"/>
    </xf>
    <xf numFmtId="43" fontId="11" fillId="0" borderId="0" xfId="3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/>
    </xf>
    <xf numFmtId="0" fontId="14" fillId="0" borderId="1" xfId="2" applyFont="1" applyBorder="1"/>
    <xf numFmtId="14" fontId="14" fillId="0" borderId="1" xfId="2" applyNumberFormat="1" applyFont="1" applyBorder="1" applyAlignment="1">
      <alignment horizontal="center"/>
    </xf>
    <xf numFmtId="0" fontId="14" fillId="11" borderId="1" xfId="2" applyFont="1" applyFill="1" applyBorder="1" applyAlignment="1">
      <alignment horizontal="center" vertical="center" wrapText="1"/>
    </xf>
    <xf numFmtId="43" fontId="14" fillId="11" borderId="1" xfId="3" applyFont="1" applyFill="1" applyBorder="1" applyAlignment="1" applyProtection="1">
      <alignment horizontal="right"/>
    </xf>
    <xf numFmtId="43" fontId="11" fillId="0" borderId="0" xfId="2" applyNumberFormat="1" applyFont="1"/>
    <xf numFmtId="0" fontId="11" fillId="11" borderId="1" xfId="2" applyFont="1" applyFill="1" applyBorder="1" applyAlignment="1">
      <alignment horizontal="center" vertical="center"/>
    </xf>
    <xf numFmtId="0" fontId="6" fillId="0" borderId="0" xfId="2"/>
    <xf numFmtId="0" fontId="14" fillId="0" borderId="1" xfId="2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5" borderId="0" xfId="0" applyFont="1" applyFill="1" applyAlignment="1">
      <alignment horizontal="center"/>
    </xf>
    <xf numFmtId="0" fontId="15" fillId="0" borderId="0" xfId="4" applyNumberFormat="1" applyFont="1" applyFill="1" applyBorder="1" applyAlignment="1"/>
    <xf numFmtId="0" fontId="15" fillId="0" borderId="1" xfId="4" applyNumberFormat="1" applyFont="1" applyFill="1" applyBorder="1" applyAlignment="1"/>
    <xf numFmtId="0" fontId="15" fillId="0" borderId="1" xfId="4" applyNumberFormat="1" applyFont="1" applyFill="1" applyBorder="1" applyAlignment="1">
      <alignment horizontal="center"/>
    </xf>
    <xf numFmtId="0" fontId="17" fillId="13" borderId="2" xfId="4" applyNumberFormat="1" applyFont="1" applyFill="1" applyBorder="1" applyAlignment="1">
      <alignment horizontal="left" vertical="top" wrapText="1"/>
    </xf>
    <xf numFmtId="0" fontId="17" fillId="13" borderId="3" xfId="4" applyNumberFormat="1" applyFont="1" applyFill="1" applyBorder="1" applyAlignment="1">
      <alignment horizontal="center" vertical="center" wrapText="1"/>
    </xf>
    <xf numFmtId="0" fontId="17" fillId="13" borderId="2" xfId="4" applyNumberFormat="1" applyFont="1" applyFill="1" applyBorder="1" applyAlignment="1">
      <alignment horizontal="center" vertical="top" wrapText="1"/>
    </xf>
    <xf numFmtId="0" fontId="15" fillId="0" borderId="0" xfId="4" applyNumberFormat="1" applyFont="1" applyFill="1" applyBorder="1" applyAlignment="1">
      <alignment horizontal="center"/>
    </xf>
    <xf numFmtId="0" fontId="18" fillId="0" borderId="0" xfId="4" applyNumberFormat="1" applyFont="1" applyFill="1" applyBorder="1" applyAlignment="1">
      <alignment horizontal="center"/>
    </xf>
    <xf numFmtId="0" fontId="18" fillId="13" borderId="1" xfId="4" applyNumberFormat="1" applyFont="1" applyFill="1" applyBorder="1" applyAlignment="1">
      <alignment horizontal="center"/>
    </xf>
    <xf numFmtId="0" fontId="17" fillId="12" borderId="4" xfId="4" applyFont="1" applyFill="1" applyBorder="1" applyAlignment="1">
      <alignment vertical="top" wrapText="1"/>
    </xf>
    <xf numFmtId="4" fontId="20" fillId="12" borderId="3" xfId="4" applyNumberFormat="1" applyFont="1" applyFill="1" applyBorder="1" applyAlignment="1">
      <alignment horizontal="right" vertical="top" wrapText="1"/>
    </xf>
    <xf numFmtId="0" fontId="17" fillId="9" borderId="2" xfId="4" applyNumberFormat="1" applyFont="1" applyFill="1" applyBorder="1" applyAlignment="1">
      <alignment horizontal="left" vertical="top" wrapText="1"/>
    </xf>
    <xf numFmtId="4" fontId="19" fillId="9" borderId="3" xfId="4" applyNumberFormat="1" applyFont="1" applyFill="1" applyBorder="1" applyAlignment="1">
      <alignment horizontal="right" vertical="top" wrapText="1"/>
    </xf>
    <xf numFmtId="0" fontId="15" fillId="9" borderId="1" xfId="4" applyNumberFormat="1" applyFont="1" applyFill="1" applyBorder="1" applyAlignment="1"/>
    <xf numFmtId="0" fontId="15" fillId="9" borderId="1" xfId="2" applyFont="1" applyFill="1" applyBorder="1" applyAlignment="1">
      <alignment horizontal="center"/>
    </xf>
    <xf numFmtId="43" fontId="15" fillId="0" borderId="0" xfId="1" applyFont="1" applyFill="1" applyBorder="1" applyAlignment="1"/>
    <xf numFmtId="0" fontId="17" fillId="13" borderId="2" xfId="4" applyNumberFormat="1" applyFont="1" applyFill="1" applyBorder="1" applyAlignment="1">
      <alignment horizontal="center" vertical="top"/>
    </xf>
    <xf numFmtId="0" fontId="17" fillId="9" borderId="2" xfId="4" applyNumberFormat="1" applyFont="1" applyFill="1" applyBorder="1" applyAlignment="1">
      <alignment horizontal="left" vertical="top"/>
    </xf>
    <xf numFmtId="0" fontId="17" fillId="12" borderId="4" xfId="4" applyFont="1" applyFill="1" applyBorder="1" applyAlignment="1">
      <alignment vertical="top"/>
    </xf>
    <xf numFmtId="0" fontId="0" fillId="5" borderId="0" xfId="0" applyFill="1" applyAlignment="1">
      <alignment horizontal="left"/>
    </xf>
    <xf numFmtId="43" fontId="15" fillId="0" borderId="0" xfId="4" applyNumberFormat="1" applyFont="1" applyFill="1" applyBorder="1" applyAlignment="1"/>
    <xf numFmtId="0" fontId="17" fillId="0" borderId="2" xfId="4" applyNumberFormat="1" applyFont="1" applyFill="1" applyBorder="1" applyAlignment="1">
      <alignment horizontal="left" vertical="top" wrapText="1"/>
    </xf>
    <xf numFmtId="0" fontId="17" fillId="0" borderId="2" xfId="4" applyNumberFormat="1" applyFont="1" applyFill="1" applyBorder="1" applyAlignment="1">
      <alignment horizontal="left" vertical="top"/>
    </xf>
    <xf numFmtId="43" fontId="0" fillId="0" borderId="0" xfId="1" applyFont="1" applyFill="1"/>
    <xf numFmtId="43" fontId="17" fillId="13" borderId="2" xfId="1" applyFont="1" applyFill="1" applyBorder="1" applyAlignment="1">
      <alignment horizontal="center" vertical="center" wrapText="1"/>
    </xf>
    <xf numFmtId="0" fontId="17" fillId="13" borderId="2" xfId="4" applyNumberFormat="1" applyFont="1" applyFill="1" applyBorder="1" applyAlignment="1">
      <alignment horizontal="left" vertical="top"/>
    </xf>
    <xf numFmtId="43" fontId="6" fillId="0" borderId="0" xfId="3" applyFont="1"/>
    <xf numFmtId="0" fontId="6" fillId="0" borderId="0" xfId="2" applyAlignment="1">
      <alignment horizontal="center"/>
    </xf>
    <xf numFmtId="43" fontId="6" fillId="0" borderId="0" xfId="2" applyNumberFormat="1"/>
    <xf numFmtId="44" fontId="6" fillId="0" borderId="0" xfId="5" applyFont="1"/>
    <xf numFmtId="0" fontId="9" fillId="0" borderId="0" xfId="2" applyFont="1"/>
    <xf numFmtId="44" fontId="9" fillId="0" borderId="0" xfId="5" applyFont="1"/>
    <xf numFmtId="0" fontId="9" fillId="14" borderId="5" xfId="2" applyFont="1" applyFill="1" applyBorder="1" applyAlignment="1">
      <alignment horizontal="center" vertical="center"/>
    </xf>
    <xf numFmtId="0" fontId="9" fillId="14" borderId="6" xfId="2" applyFont="1" applyFill="1" applyBorder="1" applyAlignment="1">
      <alignment vertical="center"/>
    </xf>
    <xf numFmtId="44" fontId="9" fillId="14" borderId="7" xfId="5" applyFont="1" applyFill="1" applyBorder="1" applyAlignment="1">
      <alignment horizontal="center"/>
    </xf>
    <xf numFmtId="0" fontId="9" fillId="14" borderId="8" xfId="2" applyFont="1" applyFill="1" applyBorder="1" applyAlignment="1">
      <alignment horizontal="center"/>
    </xf>
    <xf numFmtId="0" fontId="6" fillId="5" borderId="0" xfId="2" applyFill="1"/>
    <xf numFmtId="44" fontId="6" fillId="3" borderId="11" xfId="5" applyFont="1" applyFill="1" applyBorder="1" applyAlignment="1">
      <alignment horizontal="center"/>
    </xf>
    <xf numFmtId="44" fontId="6" fillId="3" borderId="12" xfId="2" applyNumberFormat="1" applyFill="1" applyBorder="1"/>
    <xf numFmtId="44" fontId="6" fillId="3" borderId="15" xfId="5" applyFont="1" applyFill="1" applyBorder="1" applyAlignment="1">
      <alignment horizontal="center"/>
    </xf>
    <xf numFmtId="0" fontId="6" fillId="7" borderId="0" xfId="2" applyFill="1"/>
    <xf numFmtId="44" fontId="6" fillId="9" borderId="15" xfId="5" applyFont="1" applyFill="1" applyBorder="1" applyAlignment="1">
      <alignment horizontal="center"/>
    </xf>
    <xf numFmtId="44" fontId="6" fillId="9" borderId="12" xfId="2" applyNumberFormat="1" applyFill="1" applyBorder="1"/>
    <xf numFmtId="44" fontId="8" fillId="0" borderId="16" xfId="5" applyFont="1" applyFill="1" applyBorder="1" applyAlignment="1">
      <alignment horizontal="center"/>
    </xf>
    <xf numFmtId="44" fontId="6" fillId="7" borderId="15" xfId="5" applyFont="1" applyFill="1" applyBorder="1" applyAlignment="1">
      <alignment horizontal="center"/>
    </xf>
    <xf numFmtId="44" fontId="6" fillId="7" borderId="12" xfId="2" applyNumberFormat="1" applyFill="1" applyBorder="1"/>
    <xf numFmtId="44" fontId="8" fillId="6" borderId="11" xfId="5" applyFont="1" applyFill="1" applyBorder="1" applyAlignment="1">
      <alignment horizontal="center"/>
    </xf>
    <xf numFmtId="44" fontId="8" fillId="6" borderId="12" xfId="2" applyNumberFormat="1" applyFont="1" applyFill="1" applyBorder="1"/>
    <xf numFmtId="44" fontId="8" fillId="15" borderId="15" xfId="5" applyFont="1" applyFill="1" applyBorder="1" applyAlignment="1">
      <alignment horizontal="center"/>
    </xf>
    <xf numFmtId="44" fontId="8" fillId="15" borderId="12" xfId="2" applyNumberFormat="1" applyFont="1" applyFill="1" applyBorder="1"/>
    <xf numFmtId="44" fontId="8" fillId="0" borderId="15" xfId="5" applyFont="1" applyFill="1" applyBorder="1" applyAlignment="1">
      <alignment horizontal="center"/>
    </xf>
    <xf numFmtId="0" fontId="6" fillId="6" borderId="0" xfId="2" applyFill="1"/>
    <xf numFmtId="44" fontId="8" fillId="7" borderId="15" xfId="5" applyFont="1" applyFill="1" applyBorder="1" applyAlignment="1">
      <alignment horizontal="center"/>
    </xf>
    <xf numFmtId="44" fontId="8" fillId="7" borderId="12" xfId="2" applyNumberFormat="1" applyFont="1" applyFill="1" applyBorder="1"/>
    <xf numFmtId="44" fontId="8" fillId="0" borderId="20" xfId="5" applyFont="1" applyFill="1" applyBorder="1" applyAlignment="1">
      <alignment horizontal="center"/>
    </xf>
    <xf numFmtId="44" fontId="8" fillId="0" borderId="21" xfId="2" applyNumberFormat="1" applyFont="1" applyBorder="1"/>
    <xf numFmtId="44" fontId="9" fillId="14" borderId="8" xfId="2" applyNumberFormat="1" applyFont="1" applyFill="1" applyBorder="1"/>
    <xf numFmtId="44" fontId="6" fillId="0" borderId="0" xfId="2" applyNumberFormat="1"/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horizontal="left"/>
    </xf>
    <xf numFmtId="44" fontId="9" fillId="0" borderId="0" xfId="5" applyFont="1" applyFill="1" applyBorder="1" applyAlignment="1">
      <alignment horizontal="center"/>
    </xf>
    <xf numFmtId="44" fontId="9" fillId="9" borderId="7" xfId="5" applyFont="1" applyFill="1" applyBorder="1" applyAlignment="1">
      <alignment horizontal="center"/>
    </xf>
    <xf numFmtId="0" fontId="9" fillId="9" borderId="7" xfId="2" applyFont="1" applyFill="1" applyBorder="1" applyAlignment="1">
      <alignment horizontal="center"/>
    </xf>
    <xf numFmtId="44" fontId="8" fillId="6" borderId="20" xfId="5" applyFont="1" applyFill="1" applyBorder="1" applyAlignment="1">
      <alignment horizontal="center"/>
    </xf>
    <xf numFmtId="44" fontId="8" fillId="6" borderId="11" xfId="2" applyNumberFormat="1" applyFont="1" applyFill="1" applyBorder="1" applyAlignment="1">
      <alignment horizontal="left"/>
    </xf>
    <xf numFmtId="44" fontId="8" fillId="0" borderId="11" xfId="2" applyNumberFormat="1" applyFont="1" applyBorder="1" applyAlignment="1">
      <alignment horizontal="left"/>
    </xf>
    <xf numFmtId="44" fontId="8" fillId="5" borderId="16" xfId="5" applyFont="1" applyFill="1" applyBorder="1" applyAlignment="1">
      <alignment horizontal="center"/>
    </xf>
    <xf numFmtId="44" fontId="8" fillId="5" borderId="11" xfId="2" applyNumberFormat="1" applyFont="1" applyFill="1" applyBorder="1" applyAlignment="1">
      <alignment horizontal="left"/>
    </xf>
    <xf numFmtId="44" fontId="8" fillId="8" borderId="15" xfId="5" applyFont="1" applyFill="1" applyBorder="1" applyAlignment="1">
      <alignment horizontal="center"/>
    </xf>
    <xf numFmtId="44" fontId="8" fillId="8" borderId="11" xfId="2" applyNumberFormat="1" applyFont="1" applyFill="1" applyBorder="1" applyAlignment="1">
      <alignment horizontal="left"/>
    </xf>
    <xf numFmtId="44" fontId="8" fillId="7" borderId="11" xfId="5" applyFont="1" applyFill="1" applyBorder="1" applyAlignment="1">
      <alignment horizontal="center"/>
    </xf>
    <xf numFmtId="44" fontId="8" fillId="7" borderId="11" xfId="2" applyNumberFormat="1" applyFont="1" applyFill="1" applyBorder="1" applyAlignment="1">
      <alignment horizontal="left"/>
    </xf>
    <xf numFmtId="44" fontId="9" fillId="9" borderId="7" xfId="2" applyNumberFormat="1" applyFont="1" applyFill="1" applyBorder="1"/>
    <xf numFmtId="44" fontId="21" fillId="6" borderId="11" xfId="2" applyNumberFormat="1" applyFont="1" applyFill="1" applyBorder="1"/>
    <xf numFmtId="44" fontId="21" fillId="7" borderId="15" xfId="2" applyNumberFormat="1" applyFont="1" applyFill="1" applyBorder="1"/>
    <xf numFmtId="44" fontId="21" fillId="0" borderId="16" xfId="2" applyNumberFormat="1" applyFont="1" applyBorder="1"/>
    <xf numFmtId="44" fontId="9" fillId="8" borderId="15" xfId="2" applyNumberFormat="1" applyFont="1" applyFill="1" applyBorder="1"/>
    <xf numFmtId="44" fontId="21" fillId="0" borderId="15" xfId="2" applyNumberFormat="1" applyFont="1" applyBorder="1"/>
    <xf numFmtId="44" fontId="9" fillId="0" borderId="15" xfId="2" applyNumberFormat="1" applyFont="1" applyBorder="1"/>
    <xf numFmtId="44" fontId="9" fillId="9" borderId="29" xfId="5" applyFont="1" applyFill="1" applyBorder="1" applyAlignment="1">
      <alignment horizontal="center" vertical="center"/>
    </xf>
    <xf numFmtId="44" fontId="9" fillId="9" borderId="29" xfId="2" applyNumberFormat="1" applyFont="1" applyFill="1" applyBorder="1" applyAlignment="1">
      <alignment vertical="center"/>
    </xf>
    <xf numFmtId="44" fontId="9" fillId="0" borderId="0" xfId="5" applyFont="1" applyFill="1" applyAlignment="1">
      <alignment horizontal="left"/>
    </xf>
    <xf numFmtId="44" fontId="9" fillId="17" borderId="1" xfId="5" applyFont="1" applyFill="1" applyBorder="1" applyAlignment="1">
      <alignment horizontal="left"/>
    </xf>
    <xf numFmtId="44" fontId="6" fillId="0" borderId="1" xfId="5" applyFont="1" applyFill="1" applyBorder="1" applyAlignment="1">
      <alignment horizontal="left"/>
    </xf>
    <xf numFmtId="44" fontId="6" fillId="0" borderId="1" xfId="5" quotePrefix="1" applyFont="1" applyFill="1" applyBorder="1" applyAlignment="1">
      <alignment horizontal="left"/>
    </xf>
    <xf numFmtId="44" fontId="9" fillId="0" borderId="1" xfId="5" applyFont="1" applyFill="1" applyBorder="1" applyAlignment="1">
      <alignment horizontal="left"/>
    </xf>
    <xf numFmtId="0" fontId="6" fillId="0" borderId="0" xfId="2" applyAlignment="1">
      <alignment horizontal="center" vertical="center"/>
    </xf>
    <xf numFmtId="44" fontId="6" fillId="0" borderId="0" xfId="5" applyFont="1" applyAlignment="1"/>
    <xf numFmtId="44" fontId="8" fillId="5" borderId="15" xfId="5" applyFont="1" applyFill="1" applyBorder="1" applyAlignment="1">
      <alignment horizontal="center"/>
    </xf>
    <xf numFmtId="44" fontId="21" fillId="8" borderId="15" xfId="2" applyNumberFormat="1" applyFont="1" applyFill="1" applyBorder="1"/>
    <xf numFmtId="43" fontId="18" fillId="5" borderId="0" xfId="1" applyFont="1" applyFill="1" applyBorder="1" applyAlignment="1"/>
    <xf numFmtId="164" fontId="6" fillId="0" borderId="0" xfId="2" applyNumberFormat="1"/>
    <xf numFmtId="0" fontId="10" fillId="16" borderId="0" xfId="2" applyFont="1" applyFill="1"/>
    <xf numFmtId="164" fontId="10" fillId="16" borderId="0" xfId="2" applyNumberFormat="1" applyFont="1" applyFill="1"/>
    <xf numFmtId="164" fontId="6" fillId="5" borderId="0" xfId="2" applyNumberFormat="1" applyFill="1"/>
    <xf numFmtId="0" fontId="10" fillId="0" borderId="0" xfId="2" applyFont="1" applyAlignment="1">
      <alignment horizontal="right"/>
    </xf>
    <xf numFmtId="164" fontId="10" fillId="0" borderId="0" xfId="2" applyNumberFormat="1" applyFont="1"/>
    <xf numFmtId="0" fontId="10" fillId="17" borderId="0" xfId="2" applyFont="1" applyFill="1" applyAlignment="1">
      <alignment horizontal="right"/>
    </xf>
    <xf numFmtId="164" fontId="10" fillId="17" borderId="0" xfId="2" applyNumberFormat="1" applyFont="1" applyFill="1"/>
    <xf numFmtId="0" fontId="6" fillId="0" borderId="32" xfId="2" applyBorder="1"/>
    <xf numFmtId="164" fontId="6" fillId="0" borderId="33" xfId="2" applyNumberFormat="1" applyBorder="1"/>
    <xf numFmtId="0" fontId="6" fillId="0" borderId="34" xfId="2" applyBorder="1" applyAlignment="1">
      <alignment horizontal="right"/>
    </xf>
    <xf numFmtId="164" fontId="6" fillId="0" borderId="35" xfId="2" applyNumberFormat="1" applyBorder="1"/>
    <xf numFmtId="0" fontId="6" fillId="0" borderId="34" xfId="2" applyBorder="1"/>
    <xf numFmtId="164" fontId="10" fillId="0" borderId="35" xfId="2" applyNumberFormat="1" applyFont="1" applyBorder="1"/>
    <xf numFmtId="0" fontId="10" fillId="0" borderId="34" xfId="2" applyFont="1" applyBorder="1" applyAlignment="1">
      <alignment horizontal="right"/>
    </xf>
    <xf numFmtId="0" fontId="6" fillId="0" borderId="26" xfId="2" applyBorder="1"/>
    <xf numFmtId="164" fontId="6" fillId="0" borderId="36" xfId="2" applyNumberFormat="1" applyBorder="1"/>
    <xf numFmtId="164" fontId="6" fillId="6" borderId="0" xfId="2" applyNumberFormat="1" applyFill="1"/>
    <xf numFmtId="164" fontId="6" fillId="7" borderId="0" xfId="2" applyNumberFormat="1" applyFill="1"/>
    <xf numFmtId="43" fontId="6" fillId="0" borderId="0" xfId="1" applyFont="1"/>
    <xf numFmtId="0" fontId="5" fillId="0" borderId="0" xfId="2" applyFont="1"/>
    <xf numFmtId="4" fontId="6" fillId="0" borderId="0" xfId="2" applyNumberFormat="1"/>
    <xf numFmtId="0" fontId="10" fillId="9" borderId="0" xfId="0" applyFont="1" applyFill="1"/>
    <xf numFmtId="0" fontId="10" fillId="9" borderId="0" xfId="0" applyFont="1" applyFill="1" applyAlignment="1">
      <alignment horizontal="center"/>
    </xf>
    <xf numFmtId="43" fontId="10" fillId="9" borderId="0" xfId="1" applyFont="1" applyFill="1"/>
    <xf numFmtId="0" fontId="10" fillId="18" borderId="0" xfId="0" applyFont="1" applyFill="1" applyAlignment="1">
      <alignment horizontal="center"/>
    </xf>
    <xf numFmtId="43" fontId="10" fillId="18" borderId="0" xfId="1" applyFont="1" applyFill="1" applyAlignment="1">
      <alignment horizontal="center"/>
    </xf>
    <xf numFmtId="0" fontId="10" fillId="0" borderId="0" xfId="0" applyFont="1"/>
    <xf numFmtId="0" fontId="10" fillId="19" borderId="0" xfId="0" applyFont="1" applyFill="1" applyAlignment="1">
      <alignment horizontal="center"/>
    </xf>
    <xf numFmtId="0" fontId="15" fillId="5" borderId="0" xfId="4" applyNumberFormat="1" applyFont="1" applyFill="1" applyBorder="1" applyAlignment="1">
      <alignment horizontal="center"/>
    </xf>
    <xf numFmtId="0" fontId="22" fillId="0" borderId="0" xfId="2" applyFont="1"/>
    <xf numFmtId="43" fontId="22" fillId="0" borderId="0" xfId="3" applyFont="1"/>
    <xf numFmtId="0" fontId="22" fillId="0" borderId="0" xfId="2" applyFont="1" applyAlignment="1">
      <alignment horizontal="center"/>
    </xf>
    <xf numFmtId="0" fontId="23" fillId="5" borderId="1" xfId="2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center" vertical="center" wrapText="1"/>
    </xf>
    <xf numFmtId="0" fontId="23" fillId="10" borderId="1" xfId="2" applyFont="1" applyFill="1" applyBorder="1" applyAlignment="1">
      <alignment horizontal="center" vertical="center" wrapText="1"/>
    </xf>
    <xf numFmtId="43" fontId="23" fillId="10" borderId="1" xfId="3" applyFont="1" applyFill="1" applyBorder="1" applyAlignment="1" applyProtection="1">
      <alignment horizontal="right"/>
    </xf>
    <xf numFmtId="43" fontId="23" fillId="0" borderId="0" xfId="2" applyNumberFormat="1" applyFont="1"/>
    <xf numFmtId="0" fontId="23" fillId="0" borderId="0" xfId="2" applyFont="1"/>
    <xf numFmtId="0" fontId="22" fillId="0" borderId="1" xfId="2" applyFont="1" applyBorder="1"/>
    <xf numFmtId="14" fontId="22" fillId="0" borderId="1" xfId="2" applyNumberFormat="1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0" fontId="22" fillId="11" borderId="1" xfId="2" applyFont="1" applyFill="1" applyBorder="1" applyAlignment="1">
      <alignment horizontal="center" vertical="center" wrapText="1"/>
    </xf>
    <xf numFmtId="43" fontId="22" fillId="11" borderId="1" xfId="3" applyFont="1" applyFill="1" applyBorder="1" applyAlignment="1" applyProtection="1">
      <alignment horizontal="right"/>
    </xf>
    <xf numFmtId="0" fontId="22" fillId="0" borderId="1" xfId="2" applyFont="1" applyBorder="1" applyAlignment="1">
      <alignment horizontal="center" vertical="center" wrapText="1"/>
    </xf>
    <xf numFmtId="43" fontId="22" fillId="0" borderId="1" xfId="3" applyFont="1" applyFill="1" applyBorder="1" applyAlignment="1" applyProtection="1">
      <alignment horizontal="right"/>
    </xf>
    <xf numFmtId="0" fontId="24" fillId="0" borderId="1" xfId="2" applyFont="1" applyBorder="1"/>
    <xf numFmtId="0" fontId="24" fillId="0" borderId="1" xfId="2" applyFont="1" applyBorder="1" applyAlignment="1">
      <alignment horizontal="center"/>
    </xf>
    <xf numFmtId="0" fontId="24" fillId="11" borderId="1" xfId="2" applyFont="1" applyFill="1" applyBorder="1" applyAlignment="1">
      <alignment horizontal="center" vertical="center" wrapText="1"/>
    </xf>
    <xf numFmtId="43" fontId="24" fillId="11" borderId="1" xfId="3" applyFont="1" applyFill="1" applyBorder="1" applyAlignment="1" applyProtection="1">
      <alignment horizontal="right"/>
    </xf>
    <xf numFmtId="0" fontId="25" fillId="0" borderId="1" xfId="2" applyFont="1" applyBorder="1" applyAlignment="1">
      <alignment horizontal="center"/>
    </xf>
    <xf numFmtId="0" fontId="22" fillId="0" borderId="1" xfId="2" applyFont="1" applyBorder="1" applyAlignment="1">
      <alignment horizontal="center" vertical="center"/>
    </xf>
    <xf numFmtId="0" fontId="23" fillId="0" borderId="0" xfId="2" applyFont="1" applyAlignment="1">
      <alignment vertical="center"/>
    </xf>
    <xf numFmtId="43" fontId="22" fillId="0" borderId="1" xfId="3" applyFont="1" applyFill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25" fillId="0" borderId="1" xfId="2" applyFont="1" applyBorder="1"/>
    <xf numFmtId="14" fontId="25" fillId="0" borderId="1" xfId="2" applyNumberFormat="1" applyFont="1" applyBorder="1" applyAlignment="1">
      <alignment horizontal="center"/>
    </xf>
    <xf numFmtId="0" fontId="25" fillId="11" borderId="1" xfId="2" applyFont="1" applyFill="1" applyBorder="1" applyAlignment="1">
      <alignment horizontal="center" vertical="center" wrapText="1"/>
    </xf>
    <xf numFmtId="43" fontId="25" fillId="11" borderId="1" xfId="3" applyFont="1" applyFill="1" applyBorder="1" applyAlignment="1" applyProtection="1">
      <alignment horizontal="right"/>
    </xf>
    <xf numFmtId="0" fontId="25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6" fillId="0" borderId="2" xfId="4" applyNumberFormat="1" applyFont="1" applyFill="1" applyBorder="1" applyAlignment="1">
      <alignment horizontal="center" vertical="top" wrapText="1"/>
    </xf>
    <xf numFmtId="43" fontId="22" fillId="0" borderId="1" xfId="3" applyFont="1" applyFill="1" applyBorder="1" applyAlignment="1">
      <alignment horizontal="left" vertical="center"/>
    </xf>
    <xf numFmtId="43" fontId="22" fillId="0" borderId="0" xfId="3" applyFont="1" applyFill="1" applyBorder="1" applyAlignment="1">
      <alignment horizontal="left" vertical="center"/>
    </xf>
    <xf numFmtId="0" fontId="23" fillId="0" borderId="1" xfId="2" applyFont="1" applyBorder="1" applyAlignment="1">
      <alignment horizontal="center"/>
    </xf>
    <xf numFmtId="43" fontId="22" fillId="0" borderId="0" xfId="2" applyNumberFormat="1" applyFont="1"/>
    <xf numFmtId="0" fontId="22" fillId="11" borderId="1" xfId="2" applyFont="1" applyFill="1" applyBorder="1" applyAlignment="1">
      <alignment horizontal="center" vertical="center"/>
    </xf>
    <xf numFmtId="0" fontId="24" fillId="0" borderId="0" xfId="2" applyFont="1"/>
    <xf numFmtId="43" fontId="10" fillId="0" borderId="0" xfId="1" applyFont="1"/>
    <xf numFmtId="43" fontId="19" fillId="0" borderId="3" xfId="1" applyFont="1" applyFill="1" applyBorder="1" applyAlignment="1">
      <alignment horizontal="right" vertical="top" wrapText="1"/>
    </xf>
    <xf numFmtId="43" fontId="20" fillId="12" borderId="3" xfId="1" applyFont="1" applyFill="1" applyBorder="1" applyAlignment="1">
      <alignment horizontal="right" vertical="top" wrapText="1"/>
    </xf>
    <xf numFmtId="0" fontId="27" fillId="0" borderId="1" xfId="0" applyFont="1" applyBorder="1" applyAlignment="1">
      <alignment horizontal="center"/>
    </xf>
    <xf numFmtId="43" fontId="18" fillId="0" borderId="0" xfId="4" applyNumberFormat="1" applyFont="1" applyFill="1" applyBorder="1" applyAlignment="1">
      <alignment horizontal="center"/>
    </xf>
    <xf numFmtId="0" fontId="27" fillId="0" borderId="0" xfId="0" applyFont="1"/>
    <xf numFmtId="0" fontId="17" fillId="13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top" wrapText="1"/>
    </xf>
    <xf numFmtId="0" fontId="17" fillId="13" borderId="2" xfId="0" applyFont="1" applyFill="1" applyBorder="1" applyAlignment="1">
      <alignment horizontal="center" vertical="top"/>
    </xf>
    <xf numFmtId="43" fontId="28" fillId="0" borderId="0" xfId="1" applyFont="1"/>
    <xf numFmtId="0" fontId="15" fillId="5" borderId="1" xfId="4" applyNumberFormat="1" applyFont="1" applyFill="1" applyBorder="1" applyAlignment="1">
      <alignment horizontal="center"/>
    </xf>
    <xf numFmtId="0" fontId="15" fillId="5" borderId="1" xfId="4" applyNumberFormat="1" applyFont="1" applyFill="1" applyBorder="1" applyAlignment="1"/>
    <xf numFmtId="4" fontId="20" fillId="12" borderId="39" xfId="0" applyNumberFormat="1" applyFont="1" applyFill="1" applyBorder="1" applyAlignment="1">
      <alignment horizontal="right" vertical="top" wrapText="1"/>
    </xf>
    <xf numFmtId="0" fontId="15" fillId="0" borderId="25" xfId="4" applyNumberFormat="1" applyFont="1" applyFill="1" applyBorder="1" applyAlignment="1">
      <alignment horizontal="center"/>
    </xf>
    <xf numFmtId="0" fontId="15" fillId="0" borderId="25" xfId="4" applyNumberFormat="1" applyFont="1" applyFill="1" applyBorder="1" applyAlignment="1"/>
    <xf numFmtId="0" fontId="27" fillId="0" borderId="0" xfId="0" applyFont="1" applyAlignment="1">
      <alignment horizontal="center"/>
    </xf>
    <xf numFmtId="44" fontId="6" fillId="6" borderId="12" xfId="2" applyNumberFormat="1" applyFill="1" applyBorder="1"/>
    <xf numFmtId="44" fontId="6" fillId="15" borderId="12" xfId="2" applyNumberFormat="1" applyFill="1" applyBorder="1"/>
    <xf numFmtId="44" fontId="6" fillId="0" borderId="12" xfId="2" applyNumberFormat="1" applyBorder="1"/>
    <xf numFmtId="0" fontId="4" fillId="5" borderId="0" xfId="2" applyFont="1" applyFill="1"/>
    <xf numFmtId="44" fontId="21" fillId="8" borderId="11" xfId="2" applyNumberFormat="1" applyFont="1" applyFill="1" applyBorder="1"/>
    <xf numFmtId="44" fontId="21" fillId="0" borderId="11" xfId="2" applyNumberFormat="1" applyFont="1" applyBorder="1"/>
    <xf numFmtId="44" fontId="21" fillId="7" borderId="11" xfId="2" applyNumberFormat="1" applyFont="1" applyFill="1" applyBorder="1"/>
    <xf numFmtId="0" fontId="29" fillId="12" borderId="1" xfId="0" applyFont="1" applyFill="1" applyBorder="1" applyAlignment="1">
      <alignment horizontal="center" vertical="top" wrapText="1"/>
    </xf>
    <xf numFmtId="0" fontId="24" fillId="0" borderId="0" xfId="2" applyFont="1" applyAlignment="1">
      <alignment horizontal="center"/>
    </xf>
    <xf numFmtId="43" fontId="0" fillId="0" borderId="0" xfId="1" applyFont="1" applyAlignment="1"/>
    <xf numFmtId="0" fontId="30" fillId="12" borderId="2" xfId="0" applyFont="1" applyFill="1" applyBorder="1" applyAlignment="1">
      <alignment vertical="top"/>
    </xf>
    <xf numFmtId="0" fontId="30" fillId="12" borderId="2" xfId="0" applyFont="1" applyFill="1" applyBorder="1" applyAlignment="1">
      <alignment horizontal="center" vertical="top"/>
    </xf>
    <xf numFmtId="43" fontId="27" fillId="0" borderId="0" xfId="1" applyFont="1" applyAlignment="1"/>
    <xf numFmtId="0" fontId="17" fillId="13" borderId="2" xfId="0" applyFont="1" applyFill="1" applyBorder="1" applyAlignment="1">
      <alignment horizontal="left" vertical="top"/>
    </xf>
    <xf numFmtId="0" fontId="30" fillId="13" borderId="2" xfId="0" applyFont="1" applyFill="1" applyBorder="1" applyAlignment="1">
      <alignment horizontal="left" vertical="top"/>
    </xf>
    <xf numFmtId="0" fontId="30" fillId="13" borderId="2" xfId="0" applyFont="1" applyFill="1" applyBorder="1" applyAlignment="1">
      <alignment horizontal="center" vertical="top"/>
    </xf>
    <xf numFmtId="0" fontId="30" fillId="13" borderId="3" xfId="0" applyFont="1" applyFill="1" applyBorder="1" applyAlignment="1">
      <alignment horizontal="left" vertical="top"/>
    </xf>
    <xf numFmtId="0" fontId="30" fillId="12" borderId="3" xfId="0" applyFont="1" applyFill="1" applyBorder="1" applyAlignment="1">
      <alignment vertical="top"/>
    </xf>
    <xf numFmtId="43" fontId="30" fillId="13" borderId="1" xfId="1" applyFont="1" applyFill="1" applyBorder="1" applyAlignment="1">
      <alignment horizontal="center" vertical="center"/>
    </xf>
    <xf numFmtId="43" fontId="31" fillId="12" borderId="1" xfId="1" applyFont="1" applyFill="1" applyBorder="1" applyAlignment="1">
      <alignment horizontal="right" vertical="top"/>
    </xf>
    <xf numFmtId="43" fontId="17" fillId="13" borderId="3" xfId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vertical="top"/>
    </xf>
    <xf numFmtId="0" fontId="30" fillId="5" borderId="2" xfId="0" applyFont="1" applyFill="1" applyBorder="1" applyAlignment="1">
      <alignment horizontal="center" vertical="top"/>
    </xf>
    <xf numFmtId="0" fontId="30" fillId="5" borderId="3" xfId="0" applyFont="1" applyFill="1" applyBorder="1" applyAlignment="1">
      <alignment vertical="top"/>
    </xf>
    <xf numFmtId="43" fontId="31" fillId="5" borderId="1" xfId="1" applyFont="1" applyFill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vertical="top"/>
    </xf>
    <xf numFmtId="43" fontId="19" fillId="5" borderId="3" xfId="1" applyFont="1" applyFill="1" applyBorder="1" applyAlignment="1">
      <alignment horizontal="right" vertical="top"/>
    </xf>
    <xf numFmtId="0" fontId="27" fillId="5" borderId="1" xfId="0" applyFont="1" applyFill="1" applyBorder="1"/>
    <xf numFmtId="0" fontId="10" fillId="17" borderId="0" xfId="0" applyFont="1" applyFill="1"/>
    <xf numFmtId="0" fontId="10" fillId="17" borderId="0" xfId="0" applyFont="1" applyFill="1" applyAlignment="1">
      <alignment horizontal="center"/>
    </xf>
    <xf numFmtId="43" fontId="10" fillId="17" borderId="0" xfId="1" applyFont="1" applyFill="1"/>
    <xf numFmtId="0" fontId="0" fillId="17" borderId="0" xfId="0" applyFill="1"/>
    <xf numFmtId="43" fontId="0" fillId="17" borderId="0" xfId="1" applyFont="1" applyFill="1"/>
    <xf numFmtId="0" fontId="17" fillId="15" borderId="2" xfId="0" applyFont="1" applyFill="1" applyBorder="1" applyAlignment="1">
      <alignment vertical="top"/>
    </xf>
    <xf numFmtId="43" fontId="19" fillId="15" borderId="3" xfId="1" applyFont="1" applyFill="1" applyBorder="1" applyAlignment="1">
      <alignment horizontal="right" vertical="top"/>
    </xf>
    <xf numFmtId="0" fontId="27" fillId="15" borderId="1" xfId="0" applyFont="1" applyFill="1" applyBorder="1" applyAlignment="1">
      <alignment horizontal="center"/>
    </xf>
    <xf numFmtId="0" fontId="27" fillId="15" borderId="1" xfId="0" applyFont="1" applyFill="1" applyBorder="1"/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/>
    </xf>
    <xf numFmtId="4" fontId="19" fillId="0" borderId="1" xfId="0" applyNumberFormat="1" applyFont="1" applyBorder="1" applyAlignment="1">
      <alignment horizontal="right" vertical="top" wrapText="1"/>
    </xf>
    <xf numFmtId="0" fontId="17" fillId="0" borderId="2" xfId="0" applyFont="1" applyBorder="1" applyAlignment="1">
      <alignment horizontal="left" vertical="top"/>
    </xf>
    <xf numFmtId="4" fontId="19" fillId="0" borderId="2" xfId="0" applyNumberFormat="1" applyFont="1" applyBorder="1" applyAlignment="1">
      <alignment horizontal="right" vertical="top" wrapText="1"/>
    </xf>
    <xf numFmtId="4" fontId="19" fillId="0" borderId="37" xfId="0" applyNumberFormat="1" applyFont="1" applyBorder="1" applyAlignment="1">
      <alignment horizontal="right" vertical="top" wrapText="1"/>
    </xf>
    <xf numFmtId="0" fontId="15" fillId="0" borderId="38" xfId="4" applyNumberFormat="1" applyFont="1" applyFill="1" applyBorder="1" applyAlignment="1">
      <alignment horizontal="center"/>
    </xf>
    <xf numFmtId="0" fontId="15" fillId="0" borderId="38" xfId="4" applyNumberFormat="1" applyFont="1" applyFill="1" applyBorder="1" applyAlignment="1"/>
    <xf numFmtId="4" fontId="19" fillId="0" borderId="39" xfId="0" applyNumberFormat="1" applyFont="1" applyBorder="1" applyAlignment="1">
      <alignment horizontal="right" vertical="top" wrapText="1"/>
    </xf>
    <xf numFmtId="4" fontId="19" fillId="0" borderId="40" xfId="0" applyNumberFormat="1" applyFont="1" applyBorder="1" applyAlignment="1">
      <alignment horizontal="right" vertical="top" wrapText="1"/>
    </xf>
    <xf numFmtId="0" fontId="15" fillId="0" borderId="41" xfId="4" applyNumberFormat="1" applyFont="1" applyFill="1" applyBorder="1" applyAlignment="1">
      <alignment horizontal="center"/>
    </xf>
    <xf numFmtId="0" fontId="15" fillId="0" borderId="41" xfId="4" applyNumberFormat="1" applyFont="1" applyFill="1" applyBorder="1" applyAlignment="1"/>
    <xf numFmtId="43" fontId="19" fillId="5" borderId="3" xfId="1" applyFont="1" applyFill="1" applyBorder="1" applyAlignment="1">
      <alignment horizontal="right" vertical="top" wrapText="1"/>
    </xf>
    <xf numFmtId="0" fontId="17" fillId="5" borderId="2" xfId="4" applyNumberFormat="1" applyFont="1" applyFill="1" applyBorder="1" applyAlignment="1">
      <alignment horizontal="left" vertical="top" wrapText="1"/>
    </xf>
    <xf numFmtId="0" fontId="17" fillId="5" borderId="2" xfId="4" applyNumberFormat="1" applyFont="1" applyFill="1" applyBorder="1" applyAlignment="1">
      <alignment horizontal="left" vertical="top"/>
    </xf>
    <xf numFmtId="0" fontId="10" fillId="6" borderId="0" xfId="0" applyFont="1" applyFill="1" applyAlignment="1">
      <alignment horizontal="left"/>
    </xf>
    <xf numFmtId="43" fontId="19" fillId="6" borderId="3" xfId="1" applyFont="1" applyFill="1" applyBorder="1" applyAlignment="1">
      <alignment horizontal="right" vertical="top" wrapText="1"/>
    </xf>
    <xf numFmtId="4" fontId="19" fillId="5" borderId="3" xfId="4" applyNumberFormat="1" applyFont="1" applyFill="1" applyBorder="1" applyAlignment="1">
      <alignment horizontal="right" vertical="top" wrapText="1"/>
    </xf>
    <xf numFmtId="0" fontId="15" fillId="5" borderId="1" xfId="2" applyFont="1" applyFill="1" applyBorder="1" applyAlignment="1">
      <alignment horizontal="center"/>
    </xf>
    <xf numFmtId="0" fontId="30" fillId="9" borderId="2" xfId="0" applyFont="1" applyFill="1" applyBorder="1" applyAlignment="1">
      <alignment vertical="top"/>
    </xf>
    <xf numFmtId="0" fontId="30" fillId="9" borderId="2" xfId="0" applyFont="1" applyFill="1" applyBorder="1" applyAlignment="1">
      <alignment horizontal="center" vertical="top"/>
    </xf>
    <xf numFmtId="0" fontId="30" fillId="9" borderId="3" xfId="0" applyFont="1" applyFill="1" applyBorder="1" applyAlignment="1">
      <alignment vertical="top"/>
    </xf>
    <xf numFmtId="43" fontId="31" fillId="9" borderId="1" xfId="1" applyFont="1" applyFill="1" applyBorder="1" applyAlignment="1">
      <alignment horizontal="right" vertical="top"/>
    </xf>
    <xf numFmtId="0" fontId="0" fillId="9" borderId="1" xfId="0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43" fontId="27" fillId="0" borderId="0" xfId="0" applyNumberFormat="1" applyFont="1" applyAlignment="1">
      <alignment horizontal="center"/>
    </xf>
    <xf numFmtId="0" fontId="30" fillId="7" borderId="2" xfId="0" applyFont="1" applyFill="1" applyBorder="1" applyAlignment="1">
      <alignment vertical="top"/>
    </xf>
    <xf numFmtId="0" fontId="30" fillId="7" borderId="2" xfId="0" applyFont="1" applyFill="1" applyBorder="1" applyAlignment="1">
      <alignment horizontal="center" vertical="top"/>
    </xf>
    <xf numFmtId="0" fontId="30" fillId="7" borderId="3" xfId="0" applyFont="1" applyFill="1" applyBorder="1" applyAlignment="1">
      <alignment vertical="top"/>
    </xf>
    <xf numFmtId="43" fontId="31" fillId="7" borderId="1" xfId="1" applyFont="1" applyFill="1" applyBorder="1" applyAlignment="1">
      <alignment horizontal="right" vertical="top"/>
    </xf>
    <xf numFmtId="0" fontId="0" fillId="7" borderId="1" xfId="0" applyFill="1" applyBorder="1" applyAlignment="1">
      <alignment horizontal="center"/>
    </xf>
    <xf numFmtId="0" fontId="2" fillId="0" borderId="0" xfId="2" applyFont="1"/>
    <xf numFmtId="44" fontId="2" fillId="0" borderId="0" xfId="2" applyNumberFormat="1" applyFont="1"/>
    <xf numFmtId="0" fontId="2" fillId="6" borderId="0" xfId="2" applyFont="1" applyFill="1"/>
    <xf numFmtId="4" fontId="27" fillId="0" borderId="0" xfId="0" applyNumberFormat="1" applyFont="1"/>
    <xf numFmtId="44" fontId="32" fillId="6" borderId="11" xfId="5" applyFont="1" applyFill="1" applyBorder="1" applyAlignment="1">
      <alignment horizontal="center"/>
    </xf>
    <xf numFmtId="44" fontId="32" fillId="6" borderId="12" xfId="2" applyNumberFormat="1" applyFont="1" applyFill="1" applyBorder="1"/>
    <xf numFmtId="44" fontId="32" fillId="15" borderId="15" xfId="5" applyFont="1" applyFill="1" applyBorder="1" applyAlignment="1">
      <alignment horizontal="center"/>
    </xf>
    <xf numFmtId="44" fontId="32" fillId="15" borderId="12" xfId="2" applyNumberFormat="1" applyFont="1" applyFill="1" applyBorder="1"/>
    <xf numFmtId="44" fontId="32" fillId="7" borderId="15" xfId="5" applyFont="1" applyFill="1" applyBorder="1" applyAlignment="1">
      <alignment horizontal="center"/>
    </xf>
    <xf numFmtId="44" fontId="32" fillId="7" borderId="12" xfId="2" applyNumberFormat="1" applyFont="1" applyFill="1" applyBorder="1"/>
    <xf numFmtId="44" fontId="32" fillId="0" borderId="20" xfId="5" applyFont="1" applyFill="1" applyBorder="1" applyAlignment="1">
      <alignment horizontal="center"/>
    </xf>
    <xf numFmtId="44" fontId="32" fillId="0" borderId="12" xfId="2" applyNumberFormat="1" applyFont="1" applyBorder="1"/>
    <xf numFmtId="0" fontId="2" fillId="5" borderId="0" xfId="2" applyFont="1" applyFill="1"/>
    <xf numFmtId="43" fontId="2" fillId="0" borderId="0" xfId="1" applyFont="1"/>
    <xf numFmtId="43" fontId="2" fillId="0" borderId="0" xfId="3" applyFont="1"/>
    <xf numFmtId="43" fontId="28" fillId="0" borderId="0" xfId="1" applyFont="1" applyAlignment="1"/>
    <xf numFmtId="43" fontId="10" fillId="0" borderId="0" xfId="1" applyFont="1" applyAlignment="1"/>
    <xf numFmtId="43" fontId="10" fillId="0" borderId="0" xfId="1" applyFont="1" applyFill="1"/>
    <xf numFmtId="14" fontId="22" fillId="0" borderId="0" xfId="2" applyNumberFormat="1" applyFont="1" applyAlignment="1">
      <alignment horizontal="center"/>
    </xf>
    <xf numFmtId="0" fontId="22" fillId="11" borderId="0" xfId="2" applyFont="1" applyFill="1" applyAlignment="1">
      <alignment horizontal="center" vertical="center" wrapText="1"/>
    </xf>
    <xf numFmtId="43" fontId="22" fillId="11" borderId="0" xfId="3" applyFont="1" applyFill="1" applyBorder="1" applyAlignment="1" applyProtection="1">
      <alignment horizontal="right"/>
    </xf>
    <xf numFmtId="0" fontId="34" fillId="0" borderId="0" xfId="7" applyNumberFormat="1" applyFont="1" applyFill="1" applyBorder="1" applyAlignment="1"/>
    <xf numFmtId="0" fontId="35" fillId="12" borderId="37" xfId="7" applyNumberFormat="1" applyFont="1" applyFill="1" applyBorder="1" applyAlignment="1">
      <alignment horizontal="left" vertical="top" wrapText="1"/>
    </xf>
    <xf numFmtId="0" fontId="35" fillId="12" borderId="37" xfId="7" applyNumberFormat="1" applyFont="1" applyFill="1" applyBorder="1" applyAlignment="1">
      <alignment horizontal="left" vertical="top"/>
    </xf>
    <xf numFmtId="0" fontId="35" fillId="12" borderId="2" xfId="7" applyNumberFormat="1" applyFont="1" applyFill="1" applyBorder="1" applyAlignment="1">
      <alignment horizontal="left" vertical="top" wrapText="1"/>
    </xf>
    <xf numFmtId="0" fontId="35" fillId="12" borderId="2" xfId="7" applyNumberFormat="1" applyFont="1" applyFill="1" applyBorder="1" applyAlignment="1">
      <alignment horizontal="left" vertical="top"/>
    </xf>
    <xf numFmtId="0" fontId="35" fillId="5" borderId="2" xfId="7" applyNumberFormat="1" applyFont="1" applyFill="1" applyBorder="1" applyAlignment="1">
      <alignment horizontal="left" vertical="top" wrapText="1"/>
    </xf>
    <xf numFmtId="0" fontId="35" fillId="5" borderId="2" xfId="7" applyNumberFormat="1" applyFont="1" applyFill="1" applyBorder="1" applyAlignment="1">
      <alignment horizontal="left" vertical="top"/>
    </xf>
    <xf numFmtId="0" fontId="38" fillId="13" borderId="1" xfId="4" applyNumberFormat="1" applyFont="1" applyFill="1" applyBorder="1" applyAlignment="1">
      <alignment horizontal="center"/>
    </xf>
    <xf numFmtId="4" fontId="36" fillId="5" borderId="3" xfId="7" applyNumberFormat="1" applyFont="1" applyFill="1" applyBorder="1" applyAlignment="1">
      <alignment horizontal="right" vertical="top" wrapText="1"/>
    </xf>
    <xf numFmtId="4" fontId="37" fillId="12" borderId="3" xfId="7" applyNumberFormat="1" applyFont="1" applyFill="1" applyBorder="1" applyAlignment="1">
      <alignment horizontal="right" vertical="top" wrapText="1"/>
    </xf>
    <xf numFmtId="0" fontId="34" fillId="0" borderId="1" xfId="7" applyNumberFormat="1" applyFont="1" applyFill="1" applyBorder="1" applyAlignment="1"/>
    <xf numFmtId="0" fontId="34" fillId="0" borderId="0" xfId="7" applyNumberFormat="1" applyFont="1" applyFill="1" applyBorder="1" applyAlignment="1">
      <alignment horizontal="center"/>
    </xf>
    <xf numFmtId="0" fontId="34" fillId="0" borderId="1" xfId="7" applyNumberFormat="1" applyFont="1" applyFill="1" applyBorder="1" applyAlignment="1">
      <alignment horizontal="center"/>
    </xf>
    <xf numFmtId="0" fontId="34" fillId="5" borderId="1" xfId="7" applyNumberFormat="1" applyFont="1" applyFill="1" applyBorder="1" applyAlignment="1"/>
    <xf numFmtId="0" fontId="34" fillId="5" borderId="1" xfId="7" applyNumberFormat="1" applyFont="1" applyFill="1" applyBorder="1" applyAlignment="1">
      <alignment horizontal="center"/>
    </xf>
    <xf numFmtId="43" fontId="34" fillId="0" borderId="0" xfId="1" applyFont="1" applyFill="1" applyBorder="1" applyAlignment="1"/>
    <xf numFmtId="43" fontId="38" fillId="0" borderId="0" xfId="1" applyFont="1" applyFill="1" applyBorder="1" applyAlignment="1"/>
    <xf numFmtId="43" fontId="34" fillId="0" borderId="0" xfId="7" applyNumberFormat="1" applyFont="1" applyFill="1" applyBorder="1" applyAlignment="1"/>
    <xf numFmtId="0" fontId="35" fillId="20" borderId="37" xfId="7" applyNumberFormat="1" applyFont="1" applyFill="1" applyBorder="1" applyAlignment="1">
      <alignment horizontal="center" vertical="center" wrapText="1"/>
    </xf>
    <xf numFmtId="0" fontId="38" fillId="13" borderId="38" xfId="4" applyNumberFormat="1" applyFont="1" applyFill="1" applyBorder="1" applyAlignment="1">
      <alignment horizontal="center"/>
    </xf>
    <xf numFmtId="4" fontId="36" fillId="5" borderId="42" xfId="7" applyNumberFormat="1" applyFont="1" applyFill="1" applyBorder="1" applyAlignment="1">
      <alignment horizontal="right" vertical="top" wrapText="1"/>
    </xf>
    <xf numFmtId="0" fontId="34" fillId="5" borderId="25" xfId="7" applyNumberFormat="1" applyFont="1" applyFill="1" applyBorder="1" applyAlignment="1"/>
    <xf numFmtId="0" fontId="35" fillId="5" borderId="3" xfId="7" applyNumberFormat="1" applyFont="1" applyFill="1" applyBorder="1" applyAlignment="1">
      <alignment horizontal="left" vertical="top"/>
    </xf>
    <xf numFmtId="4" fontId="36" fillId="5" borderId="1" xfId="7" applyNumberFormat="1" applyFont="1" applyFill="1" applyBorder="1" applyAlignment="1">
      <alignment horizontal="right" vertical="top" wrapText="1"/>
    </xf>
    <xf numFmtId="0" fontId="39" fillId="5" borderId="1" xfId="0" applyFont="1" applyFill="1" applyBorder="1"/>
    <xf numFmtId="0" fontId="35" fillId="20" borderId="3" xfId="7" applyNumberFormat="1" applyFont="1" applyFill="1" applyBorder="1" applyAlignment="1">
      <alignment horizontal="center" vertical="center" wrapText="1"/>
    </xf>
    <xf numFmtId="4" fontId="40" fillId="5" borderId="3" xfId="7" applyNumberFormat="1" applyFont="1" applyFill="1" applyBorder="1" applyAlignment="1">
      <alignment horizontal="right" vertical="top" wrapText="1"/>
    </xf>
    <xf numFmtId="44" fontId="9" fillId="5" borderId="0" xfId="2" applyNumberFormat="1" applyFont="1" applyFill="1"/>
    <xf numFmtId="0" fontId="1" fillId="5" borderId="0" xfId="2" applyFont="1" applyFill="1"/>
    <xf numFmtId="0" fontId="1" fillId="6" borderId="0" xfId="2" applyFont="1" applyFill="1"/>
    <xf numFmtId="0" fontId="15" fillId="0" borderId="0" xfId="4" applyNumberFormat="1" applyFont="1" applyFill="1" applyBorder="1" applyAlignment="1"/>
    <xf numFmtId="0" fontId="6" fillId="0" borderId="28" xfId="2" applyBorder="1" applyAlignment="1">
      <alignment horizontal="left" vertical="center"/>
    </xf>
    <xf numFmtId="0" fontId="6" fillId="0" borderId="14" xfId="2" applyBorder="1" applyAlignment="1">
      <alignment horizontal="left" vertical="center"/>
    </xf>
    <xf numFmtId="0" fontId="6" fillId="0" borderId="31" xfId="2" applyBorder="1" applyAlignment="1">
      <alignment horizontal="left" vertical="center"/>
    </xf>
    <xf numFmtId="0" fontId="8" fillId="0" borderId="17" xfId="2" applyFont="1" applyBorder="1" applyAlignment="1">
      <alignment horizontal="left" vertical="center"/>
    </xf>
    <xf numFmtId="0" fontId="8" fillId="0" borderId="18" xfId="2" applyFont="1" applyBorder="1" applyAlignment="1">
      <alignment horizontal="left" vertical="center"/>
    </xf>
    <xf numFmtId="0" fontId="9" fillId="9" borderId="29" xfId="2" applyFont="1" applyFill="1" applyBorder="1" applyAlignment="1">
      <alignment horizontal="left" wrapText="1"/>
    </xf>
    <xf numFmtId="0" fontId="9" fillId="9" borderId="30" xfId="2" applyFont="1" applyFill="1" applyBorder="1" applyAlignment="1">
      <alignment horizontal="left" wrapText="1"/>
    </xf>
    <xf numFmtId="0" fontId="9" fillId="17" borderId="28" xfId="2" applyFont="1" applyFill="1" applyBorder="1" applyAlignment="1">
      <alignment horizontal="left" vertical="center"/>
    </xf>
    <xf numFmtId="0" fontId="9" fillId="17" borderId="14" xfId="2" applyFont="1" applyFill="1" applyBorder="1" applyAlignment="1">
      <alignment horizontal="left" vertical="center"/>
    </xf>
    <xf numFmtId="0" fontId="9" fillId="17" borderId="31" xfId="2" applyFont="1" applyFill="1" applyBorder="1" applyAlignment="1">
      <alignment horizontal="left" vertical="center"/>
    </xf>
    <xf numFmtId="0" fontId="8" fillId="6" borderId="24" xfId="2" applyFont="1" applyFill="1" applyBorder="1" applyAlignment="1">
      <alignment horizontal="left" vertical="center"/>
    </xf>
    <xf numFmtId="0" fontId="8" fillId="6" borderId="25" xfId="2" applyFont="1" applyFill="1" applyBorder="1" applyAlignment="1">
      <alignment horizontal="left" vertical="center"/>
    </xf>
    <xf numFmtId="0" fontId="8" fillId="6" borderId="26" xfId="2" applyFont="1" applyFill="1" applyBorder="1" applyAlignment="1">
      <alignment horizontal="left" vertical="center"/>
    </xf>
    <xf numFmtId="0" fontId="8" fillId="7" borderId="27" xfId="2" applyFont="1" applyFill="1" applyBorder="1" applyAlignment="1">
      <alignment horizontal="left" vertical="center"/>
    </xf>
    <xf numFmtId="0" fontId="8" fillId="7" borderId="1" xfId="2" applyFont="1" applyFill="1" applyBorder="1" applyAlignment="1">
      <alignment horizontal="left" vertical="center"/>
    </xf>
    <xf numFmtId="0" fontId="8" fillId="7" borderId="28" xfId="2" applyFont="1" applyFill="1" applyBorder="1" applyAlignment="1">
      <alignment horizontal="left" vertical="center"/>
    </xf>
    <xf numFmtId="0" fontId="8" fillId="8" borderId="27" xfId="2" applyFont="1" applyFill="1" applyBorder="1" applyAlignment="1">
      <alignment horizontal="left" vertical="center"/>
    </xf>
    <xf numFmtId="0" fontId="8" fillId="8" borderId="1" xfId="2" applyFont="1" applyFill="1" applyBorder="1" applyAlignment="1">
      <alignment horizontal="left" vertical="center"/>
    </xf>
    <xf numFmtId="0" fontId="8" fillId="8" borderId="28" xfId="2" applyFont="1" applyFill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8" fillId="5" borderId="13" xfId="2" applyFont="1" applyFill="1" applyBorder="1" applyAlignment="1">
      <alignment horizontal="left" vertical="center"/>
    </xf>
    <xf numFmtId="0" fontId="8" fillId="5" borderId="14" xfId="2" applyFont="1" applyFill="1" applyBorder="1" applyAlignment="1">
      <alignment horizontal="left" vertical="center"/>
    </xf>
    <xf numFmtId="0" fontId="8" fillId="8" borderId="13" xfId="2" applyFont="1" applyFill="1" applyBorder="1" applyAlignment="1">
      <alignment horizontal="left" vertical="center"/>
    </xf>
    <xf numFmtId="0" fontId="8" fillId="8" borderId="14" xfId="2" applyFont="1" applyFill="1" applyBorder="1" applyAlignment="1">
      <alignment horizontal="left" vertical="center"/>
    </xf>
    <xf numFmtId="0" fontId="8" fillId="7" borderId="22" xfId="2" applyFont="1" applyFill="1" applyBorder="1" applyAlignment="1">
      <alignment horizontal="left" vertical="center"/>
    </xf>
    <xf numFmtId="0" fontId="8" fillId="7" borderId="23" xfId="2" applyFont="1" applyFill="1" applyBorder="1" applyAlignment="1">
      <alignment horizontal="left" vertical="center"/>
    </xf>
    <xf numFmtId="0" fontId="9" fillId="9" borderId="5" xfId="2" applyFont="1" applyFill="1" applyBorder="1" applyAlignment="1">
      <alignment horizontal="left" vertical="center"/>
    </xf>
    <xf numFmtId="0" fontId="9" fillId="9" borderId="6" xfId="2" applyFont="1" applyFill="1" applyBorder="1" applyAlignment="1">
      <alignment horizontal="left" vertical="center"/>
    </xf>
    <xf numFmtId="0" fontId="8" fillId="6" borderId="9" xfId="2" applyFont="1" applyFill="1" applyBorder="1" applyAlignment="1">
      <alignment horizontal="left" vertical="center"/>
    </xf>
    <xf numFmtId="0" fontId="8" fillId="6" borderId="10" xfId="2" applyFont="1" applyFill="1" applyBorder="1" applyAlignment="1">
      <alignment horizontal="left" vertical="center"/>
    </xf>
    <xf numFmtId="0" fontId="8" fillId="15" borderId="13" xfId="2" applyFont="1" applyFill="1" applyBorder="1" applyAlignment="1">
      <alignment horizontal="left" vertical="center"/>
    </xf>
    <xf numFmtId="0" fontId="8" fillId="15" borderId="14" xfId="2" applyFont="1" applyFill="1" applyBorder="1" applyAlignment="1">
      <alignment horizontal="left" vertical="center"/>
    </xf>
    <xf numFmtId="0" fontId="8" fillId="7" borderId="19" xfId="2" applyFont="1" applyFill="1" applyBorder="1" applyAlignment="1">
      <alignment horizontal="left" vertical="center"/>
    </xf>
    <xf numFmtId="0" fontId="8" fillId="7" borderId="0" xfId="2" applyFont="1" applyFill="1" applyAlignment="1">
      <alignment horizontal="left" vertical="center"/>
    </xf>
    <xf numFmtId="0" fontId="9" fillId="14" borderId="5" xfId="2" applyFont="1" applyFill="1" applyBorder="1" applyAlignment="1">
      <alignment horizontal="left" vertical="center"/>
    </xf>
    <xf numFmtId="0" fontId="9" fillId="14" borderId="6" xfId="2" applyFont="1" applyFill="1" applyBorder="1" applyAlignment="1">
      <alignment horizontal="left" vertical="center"/>
    </xf>
    <xf numFmtId="0" fontId="6" fillId="3" borderId="13" xfId="2" applyFill="1" applyBorder="1" applyAlignment="1">
      <alignment horizontal="left" vertical="center"/>
    </xf>
    <xf numFmtId="0" fontId="6" fillId="3" borderId="14" xfId="2" applyFill="1" applyBorder="1" applyAlignment="1">
      <alignment horizontal="left" vertical="center"/>
    </xf>
    <xf numFmtId="0" fontId="6" fillId="9" borderId="13" xfId="2" applyFill="1" applyBorder="1" applyAlignment="1">
      <alignment horizontal="left" vertical="center"/>
    </xf>
    <xf numFmtId="0" fontId="6" fillId="9" borderId="14" xfId="2" applyFill="1" applyBorder="1" applyAlignment="1">
      <alignment horizontal="left" vertical="center"/>
    </xf>
    <xf numFmtId="0" fontId="6" fillId="7" borderId="17" xfId="2" applyFill="1" applyBorder="1" applyAlignment="1">
      <alignment horizontal="left" vertical="center"/>
    </xf>
    <xf numFmtId="0" fontId="6" fillId="7" borderId="18" xfId="2" applyFill="1" applyBorder="1" applyAlignment="1">
      <alignment horizontal="left" vertical="center"/>
    </xf>
    <xf numFmtId="0" fontId="9" fillId="0" borderId="0" xfId="2" applyFont="1" applyAlignment="1">
      <alignment horizontal="center"/>
    </xf>
    <xf numFmtId="0" fontId="6" fillId="3" borderId="9" xfId="2" applyFill="1" applyBorder="1" applyAlignment="1">
      <alignment horizontal="left" vertical="center"/>
    </xf>
    <xf numFmtId="0" fontId="6" fillId="3" borderId="10" xfId="2" applyFill="1" applyBorder="1" applyAlignment="1">
      <alignment horizontal="left" vertical="center"/>
    </xf>
    <xf numFmtId="0" fontId="10" fillId="16" borderId="0" xfId="2" applyFont="1" applyFill="1" applyAlignment="1">
      <alignment horizontal="center"/>
    </xf>
    <xf numFmtId="0" fontId="17" fillId="12" borderId="4" xfId="4" applyFont="1" applyFill="1" applyBorder="1" applyAlignment="1">
      <alignment horizontal="left" vertical="top" wrapText="1"/>
    </xf>
    <xf numFmtId="0" fontId="17" fillId="12" borderId="4" xfId="0" applyFont="1" applyFill="1" applyBorder="1" applyAlignment="1">
      <alignment horizontal="left" vertical="top" wrapText="1"/>
    </xf>
    <xf numFmtId="0" fontId="32" fillId="15" borderId="13" xfId="2" applyFont="1" applyFill="1" applyBorder="1" applyAlignment="1">
      <alignment horizontal="left" vertical="center"/>
    </xf>
    <xf numFmtId="0" fontId="32" fillId="15" borderId="14" xfId="2" applyFont="1" applyFill="1" applyBorder="1" applyAlignment="1">
      <alignment horizontal="left" vertical="center"/>
    </xf>
    <xf numFmtId="0" fontId="32" fillId="7" borderId="19" xfId="2" applyFont="1" applyFill="1" applyBorder="1" applyAlignment="1">
      <alignment horizontal="left" vertical="center"/>
    </xf>
    <xf numFmtId="0" fontId="32" fillId="7" borderId="0" xfId="2" applyFont="1" applyFill="1" applyAlignment="1">
      <alignment horizontal="left" vertical="center"/>
    </xf>
    <xf numFmtId="0" fontId="32" fillId="0" borderId="17" xfId="2" applyFont="1" applyBorder="1" applyAlignment="1">
      <alignment horizontal="left" vertical="center"/>
    </xf>
    <xf numFmtId="0" fontId="32" fillId="0" borderId="18" xfId="2" applyFont="1" applyBorder="1" applyAlignment="1">
      <alignment horizontal="left" vertical="center"/>
    </xf>
    <xf numFmtId="0" fontId="32" fillId="6" borderId="9" xfId="2" applyFont="1" applyFill="1" applyBorder="1" applyAlignment="1">
      <alignment horizontal="left" vertical="center"/>
    </xf>
    <xf numFmtId="0" fontId="32" fillId="6" borderId="10" xfId="2" applyFont="1" applyFill="1" applyBorder="1" applyAlignment="1">
      <alignment horizontal="left" vertical="center"/>
    </xf>
    <xf numFmtId="0" fontId="35" fillId="12" borderId="4" xfId="7" applyFont="1" applyFill="1" applyBorder="1" applyAlignment="1">
      <alignment horizontal="left" vertical="top" wrapText="1"/>
    </xf>
    <xf numFmtId="0" fontId="34" fillId="0" borderId="0" xfId="7" applyNumberFormat="1" applyFont="1" applyFill="1" applyBorder="1" applyAlignment="1"/>
  </cellXfs>
  <cellStyles count="8">
    <cellStyle name="Moeda 2" xfId="5" xr:uid="{BFA4049D-6E84-42C4-84AC-6752A38FDA34}"/>
    <cellStyle name="Normal" xfId="0" builtinId="0"/>
    <cellStyle name="Normal 2" xfId="2" xr:uid="{2DC3379D-A1F8-47DE-AA55-7F88E8901AA3}"/>
    <cellStyle name="Normal 2 2" xfId="4" xr:uid="{64257089-ABEA-46FF-B7D7-118AB4657D34}"/>
    <cellStyle name="Normal 3" xfId="6" xr:uid="{8102C754-79A4-41A9-9A41-9440F21D2122}"/>
    <cellStyle name="Normal 4" xfId="7" xr:uid="{FCFA6F69-FA0A-453A-A894-1D477A77A30D}"/>
    <cellStyle name="Vírgula" xfId="1" builtinId="3"/>
    <cellStyle name="Vírgula 2" xfId="3" xr:uid="{D9A5B6A5-60CB-4721-831A-29C9422DE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Arquivos%20SIOPE%201&#186;%20Bimestre%202024/Demonstrativo%20da%20Execu&#231;&#227;o%20Financeira%20por%20Credor%20-(%20FUNDEB%20)%20-%20concilia&#231;&#227;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Arquivos%20SIOPE%201&#186;%20Bimestre%202024/Concilia&#231;&#227;o%20Fundeb%20-%201&#186;%20bimestre%20-%20correto%20e%20comple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nst Exec Financ Conciliado"/>
      <sheetName val="Março"/>
    </sheetNames>
    <sheetDataSet>
      <sheetData sheetId="0" refreshError="1">
        <row r="89">
          <cell r="J89">
            <v>146032619.85000002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eiro"/>
      <sheetName val="Fevereiro"/>
      <sheetName val="Cálculo da Conciliação"/>
    </sheetNames>
    <sheetDataSet>
      <sheetData sheetId="0">
        <row r="1">
          <cell r="G1">
            <v>58285283.730000004</v>
          </cell>
        </row>
      </sheetData>
      <sheetData sheetId="1">
        <row r="1">
          <cell r="G1">
            <v>88938685.99000001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8CBB-33CD-4030-81D8-2E41B5706A12}">
  <dimension ref="A1:I59"/>
  <sheetViews>
    <sheetView topLeftCell="C1" zoomScale="145" zoomScaleNormal="145" workbookViewId="0">
      <selection activeCell="D48" sqref="D48"/>
    </sheetView>
  </sheetViews>
  <sheetFormatPr defaultRowHeight="15" x14ac:dyDescent="0.25"/>
  <cols>
    <col min="1" max="1" width="10.28515625" style="62" customWidth="1"/>
    <col min="2" max="2" width="11.5703125" style="62" customWidth="1"/>
    <col min="3" max="3" width="11.140625" style="62" customWidth="1"/>
    <col min="4" max="4" width="13.140625" style="62" customWidth="1"/>
    <col min="5" max="5" width="17" style="62" customWidth="1"/>
    <col min="6" max="6" width="56.42578125" style="62" customWidth="1"/>
    <col min="7" max="7" width="10.5703125" style="62" customWidth="1"/>
    <col min="8" max="8" width="11.85546875" style="62" customWidth="1"/>
    <col min="9" max="9" width="10" style="62" customWidth="1"/>
    <col min="10" max="256" width="9.140625" style="62"/>
    <col min="257" max="257" width="10.28515625" style="62" customWidth="1"/>
    <col min="258" max="258" width="11.5703125" style="62" customWidth="1"/>
    <col min="259" max="259" width="11.140625" style="62" customWidth="1"/>
    <col min="260" max="260" width="13.140625" style="62" customWidth="1"/>
    <col min="261" max="261" width="17" style="62" customWidth="1"/>
    <col min="262" max="262" width="56.42578125" style="62" customWidth="1"/>
    <col min="263" max="263" width="10.5703125" style="62" customWidth="1"/>
    <col min="264" max="264" width="11.85546875" style="62" customWidth="1"/>
    <col min="265" max="265" width="10" style="62" customWidth="1"/>
    <col min="266" max="512" width="9.140625" style="62"/>
    <col min="513" max="513" width="10.28515625" style="62" customWidth="1"/>
    <col min="514" max="514" width="11.5703125" style="62" customWidth="1"/>
    <col min="515" max="515" width="11.140625" style="62" customWidth="1"/>
    <col min="516" max="516" width="13.140625" style="62" customWidth="1"/>
    <col min="517" max="517" width="17" style="62" customWidth="1"/>
    <col min="518" max="518" width="56.42578125" style="62" customWidth="1"/>
    <col min="519" max="519" width="10.5703125" style="62" customWidth="1"/>
    <col min="520" max="520" width="11.85546875" style="62" customWidth="1"/>
    <col min="521" max="521" width="10" style="62" customWidth="1"/>
    <col min="522" max="768" width="9.140625" style="62"/>
    <col min="769" max="769" width="10.28515625" style="62" customWidth="1"/>
    <col min="770" max="770" width="11.5703125" style="62" customWidth="1"/>
    <col min="771" max="771" width="11.140625" style="62" customWidth="1"/>
    <col min="772" max="772" width="13.140625" style="62" customWidth="1"/>
    <col min="773" max="773" width="17" style="62" customWidth="1"/>
    <col min="774" max="774" width="56.42578125" style="62" customWidth="1"/>
    <col min="775" max="775" width="10.5703125" style="62" customWidth="1"/>
    <col min="776" max="776" width="11.85546875" style="62" customWidth="1"/>
    <col min="777" max="777" width="10" style="62" customWidth="1"/>
    <col min="778" max="1024" width="9.140625" style="62"/>
    <col min="1025" max="1025" width="10.28515625" style="62" customWidth="1"/>
    <col min="1026" max="1026" width="11.5703125" style="62" customWidth="1"/>
    <col min="1027" max="1027" width="11.140625" style="62" customWidth="1"/>
    <col min="1028" max="1028" width="13.140625" style="62" customWidth="1"/>
    <col min="1029" max="1029" width="17" style="62" customWidth="1"/>
    <col min="1030" max="1030" width="56.42578125" style="62" customWidth="1"/>
    <col min="1031" max="1031" width="10.5703125" style="62" customWidth="1"/>
    <col min="1032" max="1032" width="11.85546875" style="62" customWidth="1"/>
    <col min="1033" max="1033" width="10" style="62" customWidth="1"/>
    <col min="1034" max="1280" width="9.140625" style="62"/>
    <col min="1281" max="1281" width="10.28515625" style="62" customWidth="1"/>
    <col min="1282" max="1282" width="11.5703125" style="62" customWidth="1"/>
    <col min="1283" max="1283" width="11.140625" style="62" customWidth="1"/>
    <col min="1284" max="1284" width="13.140625" style="62" customWidth="1"/>
    <col min="1285" max="1285" width="17" style="62" customWidth="1"/>
    <col min="1286" max="1286" width="56.42578125" style="62" customWidth="1"/>
    <col min="1287" max="1287" width="10.5703125" style="62" customWidth="1"/>
    <col min="1288" max="1288" width="11.85546875" style="62" customWidth="1"/>
    <col min="1289" max="1289" width="10" style="62" customWidth="1"/>
    <col min="1290" max="1536" width="9.140625" style="62"/>
    <col min="1537" max="1537" width="10.28515625" style="62" customWidth="1"/>
    <col min="1538" max="1538" width="11.5703125" style="62" customWidth="1"/>
    <col min="1539" max="1539" width="11.140625" style="62" customWidth="1"/>
    <col min="1540" max="1540" width="13.140625" style="62" customWidth="1"/>
    <col min="1541" max="1541" width="17" style="62" customWidth="1"/>
    <col min="1542" max="1542" width="56.42578125" style="62" customWidth="1"/>
    <col min="1543" max="1543" width="10.5703125" style="62" customWidth="1"/>
    <col min="1544" max="1544" width="11.85546875" style="62" customWidth="1"/>
    <col min="1545" max="1545" width="10" style="62" customWidth="1"/>
    <col min="1546" max="1792" width="9.140625" style="62"/>
    <col min="1793" max="1793" width="10.28515625" style="62" customWidth="1"/>
    <col min="1794" max="1794" width="11.5703125" style="62" customWidth="1"/>
    <col min="1795" max="1795" width="11.140625" style="62" customWidth="1"/>
    <col min="1796" max="1796" width="13.140625" style="62" customWidth="1"/>
    <col min="1797" max="1797" width="17" style="62" customWidth="1"/>
    <col min="1798" max="1798" width="56.42578125" style="62" customWidth="1"/>
    <col min="1799" max="1799" width="10.5703125" style="62" customWidth="1"/>
    <col min="1800" max="1800" width="11.85546875" style="62" customWidth="1"/>
    <col min="1801" max="1801" width="10" style="62" customWidth="1"/>
    <col min="1802" max="2048" width="9.140625" style="62"/>
    <col min="2049" max="2049" width="10.28515625" style="62" customWidth="1"/>
    <col min="2050" max="2050" width="11.5703125" style="62" customWidth="1"/>
    <col min="2051" max="2051" width="11.140625" style="62" customWidth="1"/>
    <col min="2052" max="2052" width="13.140625" style="62" customWidth="1"/>
    <col min="2053" max="2053" width="17" style="62" customWidth="1"/>
    <col min="2054" max="2054" width="56.42578125" style="62" customWidth="1"/>
    <col min="2055" max="2055" width="10.5703125" style="62" customWidth="1"/>
    <col min="2056" max="2056" width="11.85546875" style="62" customWidth="1"/>
    <col min="2057" max="2057" width="10" style="62" customWidth="1"/>
    <col min="2058" max="2304" width="9.140625" style="62"/>
    <col min="2305" max="2305" width="10.28515625" style="62" customWidth="1"/>
    <col min="2306" max="2306" width="11.5703125" style="62" customWidth="1"/>
    <col min="2307" max="2307" width="11.140625" style="62" customWidth="1"/>
    <col min="2308" max="2308" width="13.140625" style="62" customWidth="1"/>
    <col min="2309" max="2309" width="17" style="62" customWidth="1"/>
    <col min="2310" max="2310" width="56.42578125" style="62" customWidth="1"/>
    <col min="2311" max="2311" width="10.5703125" style="62" customWidth="1"/>
    <col min="2312" max="2312" width="11.85546875" style="62" customWidth="1"/>
    <col min="2313" max="2313" width="10" style="62" customWidth="1"/>
    <col min="2314" max="2560" width="9.140625" style="62"/>
    <col min="2561" max="2561" width="10.28515625" style="62" customWidth="1"/>
    <col min="2562" max="2562" width="11.5703125" style="62" customWidth="1"/>
    <col min="2563" max="2563" width="11.140625" style="62" customWidth="1"/>
    <col min="2564" max="2564" width="13.140625" style="62" customWidth="1"/>
    <col min="2565" max="2565" width="17" style="62" customWidth="1"/>
    <col min="2566" max="2566" width="56.42578125" style="62" customWidth="1"/>
    <col min="2567" max="2567" width="10.5703125" style="62" customWidth="1"/>
    <col min="2568" max="2568" width="11.85546875" style="62" customWidth="1"/>
    <col min="2569" max="2569" width="10" style="62" customWidth="1"/>
    <col min="2570" max="2816" width="9.140625" style="62"/>
    <col min="2817" max="2817" width="10.28515625" style="62" customWidth="1"/>
    <col min="2818" max="2818" width="11.5703125" style="62" customWidth="1"/>
    <col min="2819" max="2819" width="11.140625" style="62" customWidth="1"/>
    <col min="2820" max="2820" width="13.140625" style="62" customWidth="1"/>
    <col min="2821" max="2821" width="17" style="62" customWidth="1"/>
    <col min="2822" max="2822" width="56.42578125" style="62" customWidth="1"/>
    <col min="2823" max="2823" width="10.5703125" style="62" customWidth="1"/>
    <col min="2824" max="2824" width="11.85546875" style="62" customWidth="1"/>
    <col min="2825" max="2825" width="10" style="62" customWidth="1"/>
    <col min="2826" max="3072" width="9.140625" style="62"/>
    <col min="3073" max="3073" width="10.28515625" style="62" customWidth="1"/>
    <col min="3074" max="3074" width="11.5703125" style="62" customWidth="1"/>
    <col min="3075" max="3075" width="11.140625" style="62" customWidth="1"/>
    <col min="3076" max="3076" width="13.140625" style="62" customWidth="1"/>
    <col min="3077" max="3077" width="17" style="62" customWidth="1"/>
    <col min="3078" max="3078" width="56.42578125" style="62" customWidth="1"/>
    <col min="3079" max="3079" width="10.5703125" style="62" customWidth="1"/>
    <col min="3080" max="3080" width="11.85546875" style="62" customWidth="1"/>
    <col min="3081" max="3081" width="10" style="62" customWidth="1"/>
    <col min="3082" max="3328" width="9.140625" style="62"/>
    <col min="3329" max="3329" width="10.28515625" style="62" customWidth="1"/>
    <col min="3330" max="3330" width="11.5703125" style="62" customWidth="1"/>
    <col min="3331" max="3331" width="11.140625" style="62" customWidth="1"/>
    <col min="3332" max="3332" width="13.140625" style="62" customWidth="1"/>
    <col min="3333" max="3333" width="17" style="62" customWidth="1"/>
    <col min="3334" max="3334" width="56.42578125" style="62" customWidth="1"/>
    <col min="3335" max="3335" width="10.5703125" style="62" customWidth="1"/>
    <col min="3336" max="3336" width="11.85546875" style="62" customWidth="1"/>
    <col min="3337" max="3337" width="10" style="62" customWidth="1"/>
    <col min="3338" max="3584" width="9.140625" style="62"/>
    <col min="3585" max="3585" width="10.28515625" style="62" customWidth="1"/>
    <col min="3586" max="3586" width="11.5703125" style="62" customWidth="1"/>
    <col min="3587" max="3587" width="11.140625" style="62" customWidth="1"/>
    <col min="3588" max="3588" width="13.140625" style="62" customWidth="1"/>
    <col min="3589" max="3589" width="17" style="62" customWidth="1"/>
    <col min="3590" max="3590" width="56.42578125" style="62" customWidth="1"/>
    <col min="3591" max="3591" width="10.5703125" style="62" customWidth="1"/>
    <col min="3592" max="3592" width="11.85546875" style="62" customWidth="1"/>
    <col min="3593" max="3593" width="10" style="62" customWidth="1"/>
    <col min="3594" max="3840" width="9.140625" style="62"/>
    <col min="3841" max="3841" width="10.28515625" style="62" customWidth="1"/>
    <col min="3842" max="3842" width="11.5703125" style="62" customWidth="1"/>
    <col min="3843" max="3843" width="11.140625" style="62" customWidth="1"/>
    <col min="3844" max="3844" width="13.140625" style="62" customWidth="1"/>
    <col min="3845" max="3845" width="17" style="62" customWidth="1"/>
    <col min="3846" max="3846" width="56.42578125" style="62" customWidth="1"/>
    <col min="3847" max="3847" width="10.5703125" style="62" customWidth="1"/>
    <col min="3848" max="3848" width="11.85546875" style="62" customWidth="1"/>
    <col min="3849" max="3849" width="10" style="62" customWidth="1"/>
    <col min="3850" max="4096" width="9.140625" style="62"/>
    <col min="4097" max="4097" width="10.28515625" style="62" customWidth="1"/>
    <col min="4098" max="4098" width="11.5703125" style="62" customWidth="1"/>
    <col min="4099" max="4099" width="11.140625" style="62" customWidth="1"/>
    <col min="4100" max="4100" width="13.140625" style="62" customWidth="1"/>
    <col min="4101" max="4101" width="17" style="62" customWidth="1"/>
    <col min="4102" max="4102" width="56.42578125" style="62" customWidth="1"/>
    <col min="4103" max="4103" width="10.5703125" style="62" customWidth="1"/>
    <col min="4104" max="4104" width="11.85546875" style="62" customWidth="1"/>
    <col min="4105" max="4105" width="10" style="62" customWidth="1"/>
    <col min="4106" max="4352" width="9.140625" style="62"/>
    <col min="4353" max="4353" width="10.28515625" style="62" customWidth="1"/>
    <col min="4354" max="4354" width="11.5703125" style="62" customWidth="1"/>
    <col min="4355" max="4355" width="11.140625" style="62" customWidth="1"/>
    <col min="4356" max="4356" width="13.140625" style="62" customWidth="1"/>
    <col min="4357" max="4357" width="17" style="62" customWidth="1"/>
    <col min="4358" max="4358" width="56.42578125" style="62" customWidth="1"/>
    <col min="4359" max="4359" width="10.5703125" style="62" customWidth="1"/>
    <col min="4360" max="4360" width="11.85546875" style="62" customWidth="1"/>
    <col min="4361" max="4361" width="10" style="62" customWidth="1"/>
    <col min="4362" max="4608" width="9.140625" style="62"/>
    <col min="4609" max="4609" width="10.28515625" style="62" customWidth="1"/>
    <col min="4610" max="4610" width="11.5703125" style="62" customWidth="1"/>
    <col min="4611" max="4611" width="11.140625" style="62" customWidth="1"/>
    <col min="4612" max="4612" width="13.140625" style="62" customWidth="1"/>
    <col min="4613" max="4613" width="17" style="62" customWidth="1"/>
    <col min="4614" max="4614" width="56.42578125" style="62" customWidth="1"/>
    <col min="4615" max="4615" width="10.5703125" style="62" customWidth="1"/>
    <col min="4616" max="4616" width="11.85546875" style="62" customWidth="1"/>
    <col min="4617" max="4617" width="10" style="62" customWidth="1"/>
    <col min="4618" max="4864" width="9.140625" style="62"/>
    <col min="4865" max="4865" width="10.28515625" style="62" customWidth="1"/>
    <col min="4866" max="4866" width="11.5703125" style="62" customWidth="1"/>
    <col min="4867" max="4867" width="11.140625" style="62" customWidth="1"/>
    <col min="4868" max="4868" width="13.140625" style="62" customWidth="1"/>
    <col min="4869" max="4869" width="17" style="62" customWidth="1"/>
    <col min="4870" max="4870" width="56.42578125" style="62" customWidth="1"/>
    <col min="4871" max="4871" width="10.5703125" style="62" customWidth="1"/>
    <col min="4872" max="4872" width="11.85546875" style="62" customWidth="1"/>
    <col min="4873" max="4873" width="10" style="62" customWidth="1"/>
    <col min="4874" max="5120" width="9.140625" style="62"/>
    <col min="5121" max="5121" width="10.28515625" style="62" customWidth="1"/>
    <col min="5122" max="5122" width="11.5703125" style="62" customWidth="1"/>
    <col min="5123" max="5123" width="11.140625" style="62" customWidth="1"/>
    <col min="5124" max="5124" width="13.140625" style="62" customWidth="1"/>
    <col min="5125" max="5125" width="17" style="62" customWidth="1"/>
    <col min="5126" max="5126" width="56.42578125" style="62" customWidth="1"/>
    <col min="5127" max="5127" width="10.5703125" style="62" customWidth="1"/>
    <col min="5128" max="5128" width="11.85546875" style="62" customWidth="1"/>
    <col min="5129" max="5129" width="10" style="62" customWidth="1"/>
    <col min="5130" max="5376" width="9.140625" style="62"/>
    <col min="5377" max="5377" width="10.28515625" style="62" customWidth="1"/>
    <col min="5378" max="5378" width="11.5703125" style="62" customWidth="1"/>
    <col min="5379" max="5379" width="11.140625" style="62" customWidth="1"/>
    <col min="5380" max="5380" width="13.140625" style="62" customWidth="1"/>
    <col min="5381" max="5381" width="17" style="62" customWidth="1"/>
    <col min="5382" max="5382" width="56.42578125" style="62" customWidth="1"/>
    <col min="5383" max="5383" width="10.5703125" style="62" customWidth="1"/>
    <col min="5384" max="5384" width="11.85546875" style="62" customWidth="1"/>
    <col min="5385" max="5385" width="10" style="62" customWidth="1"/>
    <col min="5386" max="5632" width="9.140625" style="62"/>
    <col min="5633" max="5633" width="10.28515625" style="62" customWidth="1"/>
    <col min="5634" max="5634" width="11.5703125" style="62" customWidth="1"/>
    <col min="5635" max="5635" width="11.140625" style="62" customWidth="1"/>
    <col min="5636" max="5636" width="13.140625" style="62" customWidth="1"/>
    <col min="5637" max="5637" width="17" style="62" customWidth="1"/>
    <col min="5638" max="5638" width="56.42578125" style="62" customWidth="1"/>
    <col min="5639" max="5639" width="10.5703125" style="62" customWidth="1"/>
    <col min="5640" max="5640" width="11.85546875" style="62" customWidth="1"/>
    <col min="5641" max="5641" width="10" style="62" customWidth="1"/>
    <col min="5642" max="5888" width="9.140625" style="62"/>
    <col min="5889" max="5889" width="10.28515625" style="62" customWidth="1"/>
    <col min="5890" max="5890" width="11.5703125" style="62" customWidth="1"/>
    <col min="5891" max="5891" width="11.140625" style="62" customWidth="1"/>
    <col min="5892" max="5892" width="13.140625" style="62" customWidth="1"/>
    <col min="5893" max="5893" width="17" style="62" customWidth="1"/>
    <col min="5894" max="5894" width="56.42578125" style="62" customWidth="1"/>
    <col min="5895" max="5895" width="10.5703125" style="62" customWidth="1"/>
    <col min="5896" max="5896" width="11.85546875" style="62" customWidth="1"/>
    <col min="5897" max="5897" width="10" style="62" customWidth="1"/>
    <col min="5898" max="6144" width="9.140625" style="62"/>
    <col min="6145" max="6145" width="10.28515625" style="62" customWidth="1"/>
    <col min="6146" max="6146" width="11.5703125" style="62" customWidth="1"/>
    <col min="6147" max="6147" width="11.140625" style="62" customWidth="1"/>
    <col min="6148" max="6148" width="13.140625" style="62" customWidth="1"/>
    <col min="6149" max="6149" width="17" style="62" customWidth="1"/>
    <col min="6150" max="6150" width="56.42578125" style="62" customWidth="1"/>
    <col min="6151" max="6151" width="10.5703125" style="62" customWidth="1"/>
    <col min="6152" max="6152" width="11.85546875" style="62" customWidth="1"/>
    <col min="6153" max="6153" width="10" style="62" customWidth="1"/>
    <col min="6154" max="6400" width="9.140625" style="62"/>
    <col min="6401" max="6401" width="10.28515625" style="62" customWidth="1"/>
    <col min="6402" max="6402" width="11.5703125" style="62" customWidth="1"/>
    <col min="6403" max="6403" width="11.140625" style="62" customWidth="1"/>
    <col min="6404" max="6404" width="13.140625" style="62" customWidth="1"/>
    <col min="6405" max="6405" width="17" style="62" customWidth="1"/>
    <col min="6406" max="6406" width="56.42578125" style="62" customWidth="1"/>
    <col min="6407" max="6407" width="10.5703125" style="62" customWidth="1"/>
    <col min="6408" max="6408" width="11.85546875" style="62" customWidth="1"/>
    <col min="6409" max="6409" width="10" style="62" customWidth="1"/>
    <col min="6410" max="6656" width="9.140625" style="62"/>
    <col min="6657" max="6657" width="10.28515625" style="62" customWidth="1"/>
    <col min="6658" max="6658" width="11.5703125" style="62" customWidth="1"/>
    <col min="6659" max="6659" width="11.140625" style="62" customWidth="1"/>
    <col min="6660" max="6660" width="13.140625" style="62" customWidth="1"/>
    <col min="6661" max="6661" width="17" style="62" customWidth="1"/>
    <col min="6662" max="6662" width="56.42578125" style="62" customWidth="1"/>
    <col min="6663" max="6663" width="10.5703125" style="62" customWidth="1"/>
    <col min="6664" max="6664" width="11.85546875" style="62" customWidth="1"/>
    <col min="6665" max="6665" width="10" style="62" customWidth="1"/>
    <col min="6666" max="6912" width="9.140625" style="62"/>
    <col min="6913" max="6913" width="10.28515625" style="62" customWidth="1"/>
    <col min="6914" max="6914" width="11.5703125" style="62" customWidth="1"/>
    <col min="6915" max="6915" width="11.140625" style="62" customWidth="1"/>
    <col min="6916" max="6916" width="13.140625" style="62" customWidth="1"/>
    <col min="6917" max="6917" width="17" style="62" customWidth="1"/>
    <col min="6918" max="6918" width="56.42578125" style="62" customWidth="1"/>
    <col min="6919" max="6919" width="10.5703125" style="62" customWidth="1"/>
    <col min="6920" max="6920" width="11.85546875" style="62" customWidth="1"/>
    <col min="6921" max="6921" width="10" style="62" customWidth="1"/>
    <col min="6922" max="7168" width="9.140625" style="62"/>
    <col min="7169" max="7169" width="10.28515625" style="62" customWidth="1"/>
    <col min="7170" max="7170" width="11.5703125" style="62" customWidth="1"/>
    <col min="7171" max="7171" width="11.140625" style="62" customWidth="1"/>
    <col min="7172" max="7172" width="13.140625" style="62" customWidth="1"/>
    <col min="7173" max="7173" width="17" style="62" customWidth="1"/>
    <col min="7174" max="7174" width="56.42578125" style="62" customWidth="1"/>
    <col min="7175" max="7175" width="10.5703125" style="62" customWidth="1"/>
    <col min="7176" max="7176" width="11.85546875" style="62" customWidth="1"/>
    <col min="7177" max="7177" width="10" style="62" customWidth="1"/>
    <col min="7178" max="7424" width="9.140625" style="62"/>
    <col min="7425" max="7425" width="10.28515625" style="62" customWidth="1"/>
    <col min="7426" max="7426" width="11.5703125" style="62" customWidth="1"/>
    <col min="7427" max="7427" width="11.140625" style="62" customWidth="1"/>
    <col min="7428" max="7428" width="13.140625" style="62" customWidth="1"/>
    <col min="7429" max="7429" width="17" style="62" customWidth="1"/>
    <col min="7430" max="7430" width="56.42578125" style="62" customWidth="1"/>
    <col min="7431" max="7431" width="10.5703125" style="62" customWidth="1"/>
    <col min="7432" max="7432" width="11.85546875" style="62" customWidth="1"/>
    <col min="7433" max="7433" width="10" style="62" customWidth="1"/>
    <col min="7434" max="7680" width="9.140625" style="62"/>
    <col min="7681" max="7681" width="10.28515625" style="62" customWidth="1"/>
    <col min="7682" max="7682" width="11.5703125" style="62" customWidth="1"/>
    <col min="7683" max="7683" width="11.140625" style="62" customWidth="1"/>
    <col min="7684" max="7684" width="13.140625" style="62" customWidth="1"/>
    <col min="7685" max="7685" width="17" style="62" customWidth="1"/>
    <col min="7686" max="7686" width="56.42578125" style="62" customWidth="1"/>
    <col min="7687" max="7687" width="10.5703125" style="62" customWidth="1"/>
    <col min="7688" max="7688" width="11.85546875" style="62" customWidth="1"/>
    <col min="7689" max="7689" width="10" style="62" customWidth="1"/>
    <col min="7690" max="7936" width="9.140625" style="62"/>
    <col min="7937" max="7937" width="10.28515625" style="62" customWidth="1"/>
    <col min="7938" max="7938" width="11.5703125" style="62" customWidth="1"/>
    <col min="7939" max="7939" width="11.140625" style="62" customWidth="1"/>
    <col min="7940" max="7940" width="13.140625" style="62" customWidth="1"/>
    <col min="7941" max="7941" width="17" style="62" customWidth="1"/>
    <col min="7942" max="7942" width="56.42578125" style="62" customWidth="1"/>
    <col min="7943" max="7943" width="10.5703125" style="62" customWidth="1"/>
    <col min="7944" max="7944" width="11.85546875" style="62" customWidth="1"/>
    <col min="7945" max="7945" width="10" style="62" customWidth="1"/>
    <col min="7946" max="8192" width="9.140625" style="62"/>
    <col min="8193" max="8193" width="10.28515625" style="62" customWidth="1"/>
    <col min="8194" max="8194" width="11.5703125" style="62" customWidth="1"/>
    <col min="8195" max="8195" width="11.140625" style="62" customWidth="1"/>
    <col min="8196" max="8196" width="13.140625" style="62" customWidth="1"/>
    <col min="8197" max="8197" width="17" style="62" customWidth="1"/>
    <col min="8198" max="8198" width="56.42578125" style="62" customWidth="1"/>
    <col min="8199" max="8199" width="10.5703125" style="62" customWidth="1"/>
    <col min="8200" max="8200" width="11.85546875" style="62" customWidth="1"/>
    <col min="8201" max="8201" width="10" style="62" customWidth="1"/>
    <col min="8202" max="8448" width="9.140625" style="62"/>
    <col min="8449" max="8449" width="10.28515625" style="62" customWidth="1"/>
    <col min="8450" max="8450" width="11.5703125" style="62" customWidth="1"/>
    <col min="8451" max="8451" width="11.140625" style="62" customWidth="1"/>
    <col min="8452" max="8452" width="13.140625" style="62" customWidth="1"/>
    <col min="8453" max="8453" width="17" style="62" customWidth="1"/>
    <col min="8454" max="8454" width="56.42578125" style="62" customWidth="1"/>
    <col min="8455" max="8455" width="10.5703125" style="62" customWidth="1"/>
    <col min="8456" max="8456" width="11.85546875" style="62" customWidth="1"/>
    <col min="8457" max="8457" width="10" style="62" customWidth="1"/>
    <col min="8458" max="8704" width="9.140625" style="62"/>
    <col min="8705" max="8705" width="10.28515625" style="62" customWidth="1"/>
    <col min="8706" max="8706" width="11.5703125" style="62" customWidth="1"/>
    <col min="8707" max="8707" width="11.140625" style="62" customWidth="1"/>
    <col min="8708" max="8708" width="13.140625" style="62" customWidth="1"/>
    <col min="8709" max="8709" width="17" style="62" customWidth="1"/>
    <col min="8710" max="8710" width="56.42578125" style="62" customWidth="1"/>
    <col min="8711" max="8711" width="10.5703125" style="62" customWidth="1"/>
    <col min="8712" max="8712" width="11.85546875" style="62" customWidth="1"/>
    <col min="8713" max="8713" width="10" style="62" customWidth="1"/>
    <col min="8714" max="8960" width="9.140625" style="62"/>
    <col min="8961" max="8961" width="10.28515625" style="62" customWidth="1"/>
    <col min="8962" max="8962" width="11.5703125" style="62" customWidth="1"/>
    <col min="8963" max="8963" width="11.140625" style="62" customWidth="1"/>
    <col min="8964" max="8964" width="13.140625" style="62" customWidth="1"/>
    <col min="8965" max="8965" width="17" style="62" customWidth="1"/>
    <col min="8966" max="8966" width="56.42578125" style="62" customWidth="1"/>
    <col min="8967" max="8967" width="10.5703125" style="62" customWidth="1"/>
    <col min="8968" max="8968" width="11.85546875" style="62" customWidth="1"/>
    <col min="8969" max="8969" width="10" style="62" customWidth="1"/>
    <col min="8970" max="9216" width="9.140625" style="62"/>
    <col min="9217" max="9217" width="10.28515625" style="62" customWidth="1"/>
    <col min="9218" max="9218" width="11.5703125" style="62" customWidth="1"/>
    <col min="9219" max="9219" width="11.140625" style="62" customWidth="1"/>
    <col min="9220" max="9220" width="13.140625" style="62" customWidth="1"/>
    <col min="9221" max="9221" width="17" style="62" customWidth="1"/>
    <col min="9222" max="9222" width="56.42578125" style="62" customWidth="1"/>
    <col min="9223" max="9223" width="10.5703125" style="62" customWidth="1"/>
    <col min="9224" max="9224" width="11.85546875" style="62" customWidth="1"/>
    <col min="9225" max="9225" width="10" style="62" customWidth="1"/>
    <col min="9226" max="9472" width="9.140625" style="62"/>
    <col min="9473" max="9473" width="10.28515625" style="62" customWidth="1"/>
    <col min="9474" max="9474" width="11.5703125" style="62" customWidth="1"/>
    <col min="9475" max="9475" width="11.140625" style="62" customWidth="1"/>
    <col min="9476" max="9476" width="13.140625" style="62" customWidth="1"/>
    <col min="9477" max="9477" width="17" style="62" customWidth="1"/>
    <col min="9478" max="9478" width="56.42578125" style="62" customWidth="1"/>
    <col min="9479" max="9479" width="10.5703125" style="62" customWidth="1"/>
    <col min="9480" max="9480" width="11.85546875" style="62" customWidth="1"/>
    <col min="9481" max="9481" width="10" style="62" customWidth="1"/>
    <col min="9482" max="9728" width="9.140625" style="62"/>
    <col min="9729" max="9729" width="10.28515625" style="62" customWidth="1"/>
    <col min="9730" max="9730" width="11.5703125" style="62" customWidth="1"/>
    <col min="9731" max="9731" width="11.140625" style="62" customWidth="1"/>
    <col min="9732" max="9732" width="13.140625" style="62" customWidth="1"/>
    <col min="9733" max="9733" width="17" style="62" customWidth="1"/>
    <col min="9734" max="9734" width="56.42578125" style="62" customWidth="1"/>
    <col min="9735" max="9735" width="10.5703125" style="62" customWidth="1"/>
    <col min="9736" max="9736" width="11.85546875" style="62" customWidth="1"/>
    <col min="9737" max="9737" width="10" style="62" customWidth="1"/>
    <col min="9738" max="9984" width="9.140625" style="62"/>
    <col min="9985" max="9985" width="10.28515625" style="62" customWidth="1"/>
    <col min="9986" max="9986" width="11.5703125" style="62" customWidth="1"/>
    <col min="9987" max="9987" width="11.140625" style="62" customWidth="1"/>
    <col min="9988" max="9988" width="13.140625" style="62" customWidth="1"/>
    <col min="9989" max="9989" width="17" style="62" customWidth="1"/>
    <col min="9990" max="9990" width="56.42578125" style="62" customWidth="1"/>
    <col min="9991" max="9991" width="10.5703125" style="62" customWidth="1"/>
    <col min="9992" max="9992" width="11.85546875" style="62" customWidth="1"/>
    <col min="9993" max="9993" width="10" style="62" customWidth="1"/>
    <col min="9994" max="10240" width="9.140625" style="62"/>
    <col min="10241" max="10241" width="10.28515625" style="62" customWidth="1"/>
    <col min="10242" max="10242" width="11.5703125" style="62" customWidth="1"/>
    <col min="10243" max="10243" width="11.140625" style="62" customWidth="1"/>
    <col min="10244" max="10244" width="13.140625" style="62" customWidth="1"/>
    <col min="10245" max="10245" width="17" style="62" customWidth="1"/>
    <col min="10246" max="10246" width="56.42578125" style="62" customWidth="1"/>
    <col min="10247" max="10247" width="10.5703125" style="62" customWidth="1"/>
    <col min="10248" max="10248" width="11.85546875" style="62" customWidth="1"/>
    <col min="10249" max="10249" width="10" style="62" customWidth="1"/>
    <col min="10250" max="10496" width="9.140625" style="62"/>
    <col min="10497" max="10497" width="10.28515625" style="62" customWidth="1"/>
    <col min="10498" max="10498" width="11.5703125" style="62" customWidth="1"/>
    <col min="10499" max="10499" width="11.140625" style="62" customWidth="1"/>
    <col min="10500" max="10500" width="13.140625" style="62" customWidth="1"/>
    <col min="10501" max="10501" width="17" style="62" customWidth="1"/>
    <col min="10502" max="10502" width="56.42578125" style="62" customWidth="1"/>
    <col min="10503" max="10503" width="10.5703125" style="62" customWidth="1"/>
    <col min="10504" max="10504" width="11.85546875" style="62" customWidth="1"/>
    <col min="10505" max="10505" width="10" style="62" customWidth="1"/>
    <col min="10506" max="10752" width="9.140625" style="62"/>
    <col min="10753" max="10753" width="10.28515625" style="62" customWidth="1"/>
    <col min="10754" max="10754" width="11.5703125" style="62" customWidth="1"/>
    <col min="10755" max="10755" width="11.140625" style="62" customWidth="1"/>
    <col min="10756" max="10756" width="13.140625" style="62" customWidth="1"/>
    <col min="10757" max="10757" width="17" style="62" customWidth="1"/>
    <col min="10758" max="10758" width="56.42578125" style="62" customWidth="1"/>
    <col min="10759" max="10759" width="10.5703125" style="62" customWidth="1"/>
    <col min="10760" max="10760" width="11.85546875" style="62" customWidth="1"/>
    <col min="10761" max="10761" width="10" style="62" customWidth="1"/>
    <col min="10762" max="11008" width="9.140625" style="62"/>
    <col min="11009" max="11009" width="10.28515625" style="62" customWidth="1"/>
    <col min="11010" max="11010" width="11.5703125" style="62" customWidth="1"/>
    <col min="11011" max="11011" width="11.140625" style="62" customWidth="1"/>
    <col min="11012" max="11012" width="13.140625" style="62" customWidth="1"/>
    <col min="11013" max="11013" width="17" style="62" customWidth="1"/>
    <col min="11014" max="11014" width="56.42578125" style="62" customWidth="1"/>
    <col min="11015" max="11015" width="10.5703125" style="62" customWidth="1"/>
    <col min="11016" max="11016" width="11.85546875" style="62" customWidth="1"/>
    <col min="11017" max="11017" width="10" style="62" customWidth="1"/>
    <col min="11018" max="11264" width="9.140625" style="62"/>
    <col min="11265" max="11265" width="10.28515625" style="62" customWidth="1"/>
    <col min="11266" max="11266" width="11.5703125" style="62" customWidth="1"/>
    <col min="11267" max="11267" width="11.140625" style="62" customWidth="1"/>
    <col min="11268" max="11268" width="13.140625" style="62" customWidth="1"/>
    <col min="11269" max="11269" width="17" style="62" customWidth="1"/>
    <col min="11270" max="11270" width="56.42578125" style="62" customWidth="1"/>
    <col min="11271" max="11271" width="10.5703125" style="62" customWidth="1"/>
    <col min="11272" max="11272" width="11.85546875" style="62" customWidth="1"/>
    <col min="11273" max="11273" width="10" style="62" customWidth="1"/>
    <col min="11274" max="11520" width="9.140625" style="62"/>
    <col min="11521" max="11521" width="10.28515625" style="62" customWidth="1"/>
    <col min="11522" max="11522" width="11.5703125" style="62" customWidth="1"/>
    <col min="11523" max="11523" width="11.140625" style="62" customWidth="1"/>
    <col min="11524" max="11524" width="13.140625" style="62" customWidth="1"/>
    <col min="11525" max="11525" width="17" style="62" customWidth="1"/>
    <col min="11526" max="11526" width="56.42578125" style="62" customWidth="1"/>
    <col min="11527" max="11527" width="10.5703125" style="62" customWidth="1"/>
    <col min="11528" max="11528" width="11.85546875" style="62" customWidth="1"/>
    <col min="11529" max="11529" width="10" style="62" customWidth="1"/>
    <col min="11530" max="11776" width="9.140625" style="62"/>
    <col min="11777" max="11777" width="10.28515625" style="62" customWidth="1"/>
    <col min="11778" max="11778" width="11.5703125" style="62" customWidth="1"/>
    <col min="11779" max="11779" width="11.140625" style="62" customWidth="1"/>
    <col min="11780" max="11780" width="13.140625" style="62" customWidth="1"/>
    <col min="11781" max="11781" width="17" style="62" customWidth="1"/>
    <col min="11782" max="11782" width="56.42578125" style="62" customWidth="1"/>
    <col min="11783" max="11783" width="10.5703125" style="62" customWidth="1"/>
    <col min="11784" max="11784" width="11.85546875" style="62" customWidth="1"/>
    <col min="11785" max="11785" width="10" style="62" customWidth="1"/>
    <col min="11786" max="12032" width="9.140625" style="62"/>
    <col min="12033" max="12033" width="10.28515625" style="62" customWidth="1"/>
    <col min="12034" max="12034" width="11.5703125" style="62" customWidth="1"/>
    <col min="12035" max="12035" width="11.140625" style="62" customWidth="1"/>
    <col min="12036" max="12036" width="13.140625" style="62" customWidth="1"/>
    <col min="12037" max="12037" width="17" style="62" customWidth="1"/>
    <col min="12038" max="12038" width="56.42578125" style="62" customWidth="1"/>
    <col min="12039" max="12039" width="10.5703125" style="62" customWidth="1"/>
    <col min="12040" max="12040" width="11.85546875" style="62" customWidth="1"/>
    <col min="12041" max="12041" width="10" style="62" customWidth="1"/>
    <col min="12042" max="12288" width="9.140625" style="62"/>
    <col min="12289" max="12289" width="10.28515625" style="62" customWidth="1"/>
    <col min="12290" max="12290" width="11.5703125" style="62" customWidth="1"/>
    <col min="12291" max="12291" width="11.140625" style="62" customWidth="1"/>
    <col min="12292" max="12292" width="13.140625" style="62" customWidth="1"/>
    <col min="12293" max="12293" width="17" style="62" customWidth="1"/>
    <col min="12294" max="12294" width="56.42578125" style="62" customWidth="1"/>
    <col min="12295" max="12295" width="10.5703125" style="62" customWidth="1"/>
    <col min="12296" max="12296" width="11.85546875" style="62" customWidth="1"/>
    <col min="12297" max="12297" width="10" style="62" customWidth="1"/>
    <col min="12298" max="12544" width="9.140625" style="62"/>
    <col min="12545" max="12545" width="10.28515625" style="62" customWidth="1"/>
    <col min="12546" max="12546" width="11.5703125" style="62" customWidth="1"/>
    <col min="12547" max="12547" width="11.140625" style="62" customWidth="1"/>
    <col min="12548" max="12548" width="13.140625" style="62" customWidth="1"/>
    <col min="12549" max="12549" width="17" style="62" customWidth="1"/>
    <col min="12550" max="12550" width="56.42578125" style="62" customWidth="1"/>
    <col min="12551" max="12551" width="10.5703125" style="62" customWidth="1"/>
    <col min="12552" max="12552" width="11.85546875" style="62" customWidth="1"/>
    <col min="12553" max="12553" width="10" style="62" customWidth="1"/>
    <col min="12554" max="12800" width="9.140625" style="62"/>
    <col min="12801" max="12801" width="10.28515625" style="62" customWidth="1"/>
    <col min="12802" max="12802" width="11.5703125" style="62" customWidth="1"/>
    <col min="12803" max="12803" width="11.140625" style="62" customWidth="1"/>
    <col min="12804" max="12804" width="13.140625" style="62" customWidth="1"/>
    <col min="12805" max="12805" width="17" style="62" customWidth="1"/>
    <col min="12806" max="12806" width="56.42578125" style="62" customWidth="1"/>
    <col min="12807" max="12807" width="10.5703125" style="62" customWidth="1"/>
    <col min="12808" max="12808" width="11.85546875" style="62" customWidth="1"/>
    <col min="12809" max="12809" width="10" style="62" customWidth="1"/>
    <col min="12810" max="13056" width="9.140625" style="62"/>
    <col min="13057" max="13057" width="10.28515625" style="62" customWidth="1"/>
    <col min="13058" max="13058" width="11.5703125" style="62" customWidth="1"/>
    <col min="13059" max="13059" width="11.140625" style="62" customWidth="1"/>
    <col min="13060" max="13060" width="13.140625" style="62" customWidth="1"/>
    <col min="13061" max="13061" width="17" style="62" customWidth="1"/>
    <col min="13062" max="13062" width="56.42578125" style="62" customWidth="1"/>
    <col min="13063" max="13063" width="10.5703125" style="62" customWidth="1"/>
    <col min="13064" max="13064" width="11.85546875" style="62" customWidth="1"/>
    <col min="13065" max="13065" width="10" style="62" customWidth="1"/>
    <col min="13066" max="13312" width="9.140625" style="62"/>
    <col min="13313" max="13313" width="10.28515625" style="62" customWidth="1"/>
    <col min="13314" max="13314" width="11.5703125" style="62" customWidth="1"/>
    <col min="13315" max="13315" width="11.140625" style="62" customWidth="1"/>
    <col min="13316" max="13316" width="13.140625" style="62" customWidth="1"/>
    <col min="13317" max="13317" width="17" style="62" customWidth="1"/>
    <col min="13318" max="13318" width="56.42578125" style="62" customWidth="1"/>
    <col min="13319" max="13319" width="10.5703125" style="62" customWidth="1"/>
    <col min="13320" max="13320" width="11.85546875" style="62" customWidth="1"/>
    <col min="13321" max="13321" width="10" style="62" customWidth="1"/>
    <col min="13322" max="13568" width="9.140625" style="62"/>
    <col min="13569" max="13569" width="10.28515625" style="62" customWidth="1"/>
    <col min="13570" max="13570" width="11.5703125" style="62" customWidth="1"/>
    <col min="13571" max="13571" width="11.140625" style="62" customWidth="1"/>
    <col min="13572" max="13572" width="13.140625" style="62" customWidth="1"/>
    <col min="13573" max="13573" width="17" style="62" customWidth="1"/>
    <col min="13574" max="13574" width="56.42578125" style="62" customWidth="1"/>
    <col min="13575" max="13575" width="10.5703125" style="62" customWidth="1"/>
    <col min="13576" max="13576" width="11.85546875" style="62" customWidth="1"/>
    <col min="13577" max="13577" width="10" style="62" customWidth="1"/>
    <col min="13578" max="13824" width="9.140625" style="62"/>
    <col min="13825" max="13825" width="10.28515625" style="62" customWidth="1"/>
    <col min="13826" max="13826" width="11.5703125" style="62" customWidth="1"/>
    <col min="13827" max="13827" width="11.140625" style="62" customWidth="1"/>
    <col min="13828" max="13828" width="13.140625" style="62" customWidth="1"/>
    <col min="13829" max="13829" width="17" style="62" customWidth="1"/>
    <col min="13830" max="13830" width="56.42578125" style="62" customWidth="1"/>
    <col min="13831" max="13831" width="10.5703125" style="62" customWidth="1"/>
    <col min="13832" max="13832" width="11.85546875" style="62" customWidth="1"/>
    <col min="13833" max="13833" width="10" style="62" customWidth="1"/>
    <col min="13834" max="14080" width="9.140625" style="62"/>
    <col min="14081" max="14081" width="10.28515625" style="62" customWidth="1"/>
    <col min="14082" max="14082" width="11.5703125" style="62" customWidth="1"/>
    <col min="14083" max="14083" width="11.140625" style="62" customWidth="1"/>
    <col min="14084" max="14084" width="13.140625" style="62" customWidth="1"/>
    <col min="14085" max="14085" width="17" style="62" customWidth="1"/>
    <col min="14086" max="14086" width="56.42578125" style="62" customWidth="1"/>
    <col min="14087" max="14087" width="10.5703125" style="62" customWidth="1"/>
    <col min="14088" max="14088" width="11.85546875" style="62" customWidth="1"/>
    <col min="14089" max="14089" width="10" style="62" customWidth="1"/>
    <col min="14090" max="14336" width="9.140625" style="62"/>
    <col min="14337" max="14337" width="10.28515625" style="62" customWidth="1"/>
    <col min="14338" max="14338" width="11.5703125" style="62" customWidth="1"/>
    <col min="14339" max="14339" width="11.140625" style="62" customWidth="1"/>
    <col min="14340" max="14340" width="13.140625" style="62" customWidth="1"/>
    <col min="14341" max="14341" width="17" style="62" customWidth="1"/>
    <col min="14342" max="14342" width="56.42578125" style="62" customWidth="1"/>
    <col min="14343" max="14343" width="10.5703125" style="62" customWidth="1"/>
    <col min="14344" max="14344" width="11.85546875" style="62" customWidth="1"/>
    <col min="14345" max="14345" width="10" style="62" customWidth="1"/>
    <col min="14346" max="14592" width="9.140625" style="62"/>
    <col min="14593" max="14593" width="10.28515625" style="62" customWidth="1"/>
    <col min="14594" max="14594" width="11.5703125" style="62" customWidth="1"/>
    <col min="14595" max="14595" width="11.140625" style="62" customWidth="1"/>
    <col min="14596" max="14596" width="13.140625" style="62" customWidth="1"/>
    <col min="14597" max="14597" width="17" style="62" customWidth="1"/>
    <col min="14598" max="14598" width="56.42578125" style="62" customWidth="1"/>
    <col min="14599" max="14599" width="10.5703125" style="62" customWidth="1"/>
    <col min="14600" max="14600" width="11.85546875" style="62" customWidth="1"/>
    <col min="14601" max="14601" width="10" style="62" customWidth="1"/>
    <col min="14602" max="14848" width="9.140625" style="62"/>
    <col min="14849" max="14849" width="10.28515625" style="62" customWidth="1"/>
    <col min="14850" max="14850" width="11.5703125" style="62" customWidth="1"/>
    <col min="14851" max="14851" width="11.140625" style="62" customWidth="1"/>
    <col min="14852" max="14852" width="13.140625" style="62" customWidth="1"/>
    <col min="14853" max="14853" width="17" style="62" customWidth="1"/>
    <col min="14854" max="14854" width="56.42578125" style="62" customWidth="1"/>
    <col min="14855" max="14855" width="10.5703125" style="62" customWidth="1"/>
    <col min="14856" max="14856" width="11.85546875" style="62" customWidth="1"/>
    <col min="14857" max="14857" width="10" style="62" customWidth="1"/>
    <col min="14858" max="15104" width="9.140625" style="62"/>
    <col min="15105" max="15105" width="10.28515625" style="62" customWidth="1"/>
    <col min="15106" max="15106" width="11.5703125" style="62" customWidth="1"/>
    <col min="15107" max="15107" width="11.140625" style="62" customWidth="1"/>
    <col min="15108" max="15108" width="13.140625" style="62" customWidth="1"/>
    <col min="15109" max="15109" width="17" style="62" customWidth="1"/>
    <col min="15110" max="15110" width="56.42578125" style="62" customWidth="1"/>
    <col min="15111" max="15111" width="10.5703125" style="62" customWidth="1"/>
    <col min="15112" max="15112" width="11.85546875" style="62" customWidth="1"/>
    <col min="15113" max="15113" width="10" style="62" customWidth="1"/>
    <col min="15114" max="15360" width="9.140625" style="62"/>
    <col min="15361" max="15361" width="10.28515625" style="62" customWidth="1"/>
    <col min="15362" max="15362" width="11.5703125" style="62" customWidth="1"/>
    <col min="15363" max="15363" width="11.140625" style="62" customWidth="1"/>
    <col min="15364" max="15364" width="13.140625" style="62" customWidth="1"/>
    <col min="15365" max="15365" width="17" style="62" customWidth="1"/>
    <col min="15366" max="15366" width="56.42578125" style="62" customWidth="1"/>
    <col min="15367" max="15367" width="10.5703125" style="62" customWidth="1"/>
    <col min="15368" max="15368" width="11.85546875" style="62" customWidth="1"/>
    <col min="15369" max="15369" width="10" style="62" customWidth="1"/>
    <col min="15370" max="15616" width="9.140625" style="62"/>
    <col min="15617" max="15617" width="10.28515625" style="62" customWidth="1"/>
    <col min="15618" max="15618" width="11.5703125" style="62" customWidth="1"/>
    <col min="15619" max="15619" width="11.140625" style="62" customWidth="1"/>
    <col min="15620" max="15620" width="13.140625" style="62" customWidth="1"/>
    <col min="15621" max="15621" width="17" style="62" customWidth="1"/>
    <col min="15622" max="15622" width="56.42578125" style="62" customWidth="1"/>
    <col min="15623" max="15623" width="10.5703125" style="62" customWidth="1"/>
    <col min="15624" max="15624" width="11.85546875" style="62" customWidth="1"/>
    <col min="15625" max="15625" width="10" style="62" customWidth="1"/>
    <col min="15626" max="15872" width="9.140625" style="62"/>
    <col min="15873" max="15873" width="10.28515625" style="62" customWidth="1"/>
    <col min="15874" max="15874" width="11.5703125" style="62" customWidth="1"/>
    <col min="15875" max="15875" width="11.140625" style="62" customWidth="1"/>
    <col min="15876" max="15876" width="13.140625" style="62" customWidth="1"/>
    <col min="15877" max="15877" width="17" style="62" customWidth="1"/>
    <col min="15878" max="15878" width="56.42578125" style="62" customWidth="1"/>
    <col min="15879" max="15879" width="10.5703125" style="62" customWidth="1"/>
    <col min="15880" max="15880" width="11.85546875" style="62" customWidth="1"/>
    <col min="15881" max="15881" width="10" style="62" customWidth="1"/>
    <col min="15882" max="16128" width="9.140625" style="62"/>
    <col min="16129" max="16129" width="10.28515625" style="62" customWidth="1"/>
    <col min="16130" max="16130" width="11.5703125" style="62" customWidth="1"/>
    <col min="16131" max="16131" width="11.140625" style="62" customWidth="1"/>
    <col min="16132" max="16132" width="13.140625" style="62" customWidth="1"/>
    <col min="16133" max="16133" width="17" style="62" customWidth="1"/>
    <col min="16134" max="16134" width="56.42578125" style="62" customWidth="1"/>
    <col min="16135" max="16135" width="10.5703125" style="62" customWidth="1"/>
    <col min="16136" max="16136" width="11.85546875" style="62" customWidth="1"/>
    <col min="16137" max="16137" width="10" style="62" customWidth="1"/>
    <col min="16138" max="16384" width="9.140625" style="62"/>
  </cols>
  <sheetData>
    <row r="1" spans="1:9" s="27" customFormat="1" ht="11.25" x14ac:dyDescent="0.2">
      <c r="G1" s="28"/>
      <c r="H1" s="29"/>
    </row>
    <row r="2" spans="1:9" s="35" customFormat="1" ht="11.25" x14ac:dyDescent="0.2">
      <c r="A2" s="30" t="s">
        <v>59</v>
      </c>
      <c r="B2" s="30" t="s">
        <v>2</v>
      </c>
      <c r="C2" s="31" t="s">
        <v>60</v>
      </c>
      <c r="D2" s="31" t="s">
        <v>61</v>
      </c>
      <c r="E2" s="32" t="s">
        <v>62</v>
      </c>
      <c r="F2" s="32" t="s">
        <v>63</v>
      </c>
      <c r="G2" s="33">
        <f>SUM(G3:G27)</f>
        <v>13499281.819999998</v>
      </c>
      <c r="H2" s="31" t="s">
        <v>64</v>
      </c>
      <c r="I2" s="34"/>
    </row>
    <row r="3" spans="1:9" s="27" customFormat="1" ht="11.25" x14ac:dyDescent="0.2">
      <c r="A3" s="36" t="s">
        <v>65</v>
      </c>
      <c r="B3" s="37">
        <v>45701</v>
      </c>
      <c r="C3" s="38" t="s">
        <v>95</v>
      </c>
      <c r="D3" s="38" t="s">
        <v>96</v>
      </c>
      <c r="E3" s="39" t="s">
        <v>66</v>
      </c>
      <c r="F3" s="39" t="s">
        <v>87</v>
      </c>
      <c r="G3" s="40">
        <v>3384838.67</v>
      </c>
      <c r="H3" s="38"/>
    </row>
    <row r="4" spans="1:9" s="27" customFormat="1" ht="11.25" x14ac:dyDescent="0.2">
      <c r="A4" s="36" t="s">
        <v>65</v>
      </c>
      <c r="B4" s="37">
        <v>45701</v>
      </c>
      <c r="C4" s="38" t="s">
        <v>95</v>
      </c>
      <c r="D4" s="38" t="s">
        <v>97</v>
      </c>
      <c r="E4" s="39" t="s">
        <v>66</v>
      </c>
      <c r="F4" s="39" t="s">
        <v>80</v>
      </c>
      <c r="G4" s="40">
        <v>8576713.2699999996</v>
      </c>
      <c r="H4" s="38"/>
    </row>
    <row r="5" spans="1:9" s="27" customFormat="1" ht="11.25" x14ac:dyDescent="0.2">
      <c r="A5" s="36" t="s">
        <v>65</v>
      </c>
      <c r="B5" s="37">
        <v>45701</v>
      </c>
      <c r="C5" s="38" t="s">
        <v>95</v>
      </c>
      <c r="D5" s="38" t="s">
        <v>98</v>
      </c>
      <c r="E5" s="39" t="s">
        <v>66</v>
      </c>
      <c r="F5" s="39" t="s">
        <v>67</v>
      </c>
      <c r="G5" s="40">
        <v>19.579999999999998</v>
      </c>
      <c r="H5" s="38"/>
    </row>
    <row r="6" spans="1:9" s="27" customFormat="1" ht="11.25" x14ac:dyDescent="0.2">
      <c r="A6" s="36" t="s">
        <v>65</v>
      </c>
      <c r="B6" s="37">
        <v>45701</v>
      </c>
      <c r="C6" s="38" t="s">
        <v>95</v>
      </c>
      <c r="D6" s="38" t="s">
        <v>99</v>
      </c>
      <c r="E6" s="39" t="s">
        <v>66</v>
      </c>
      <c r="F6" s="39" t="s">
        <v>68</v>
      </c>
      <c r="G6" s="40">
        <v>196</v>
      </c>
      <c r="H6" s="38"/>
    </row>
    <row r="7" spans="1:9" s="27" customFormat="1" ht="11.25" x14ac:dyDescent="0.2">
      <c r="A7" s="36" t="s">
        <v>65</v>
      </c>
      <c r="B7" s="37">
        <v>45701</v>
      </c>
      <c r="C7" s="38" t="s">
        <v>95</v>
      </c>
      <c r="D7" s="38" t="s">
        <v>100</v>
      </c>
      <c r="E7" s="39" t="s">
        <v>66</v>
      </c>
      <c r="F7" s="39" t="s">
        <v>69</v>
      </c>
      <c r="G7" s="40">
        <v>93</v>
      </c>
      <c r="H7" s="38"/>
    </row>
    <row r="8" spans="1:9" s="27" customFormat="1" ht="11.25" x14ac:dyDescent="0.2">
      <c r="A8" s="36" t="s">
        <v>65</v>
      </c>
      <c r="B8" s="37">
        <v>45701</v>
      </c>
      <c r="C8" s="38" t="s">
        <v>95</v>
      </c>
      <c r="D8" s="38" t="s">
        <v>101</v>
      </c>
      <c r="E8" s="39" t="s">
        <v>66</v>
      </c>
      <c r="F8" s="39" t="s">
        <v>70</v>
      </c>
      <c r="G8" s="40">
        <v>21000.86</v>
      </c>
      <c r="H8" s="38"/>
    </row>
    <row r="9" spans="1:9" s="27" customFormat="1" ht="11.25" x14ac:dyDescent="0.2">
      <c r="A9" s="36" t="s">
        <v>65</v>
      </c>
      <c r="B9" s="37">
        <v>45701</v>
      </c>
      <c r="C9" s="38" t="s">
        <v>95</v>
      </c>
      <c r="D9" s="38" t="s">
        <v>102</v>
      </c>
      <c r="E9" s="39" t="s">
        <v>66</v>
      </c>
      <c r="F9" s="39" t="s">
        <v>72</v>
      </c>
      <c r="G9" s="40">
        <v>210</v>
      </c>
      <c r="H9" s="38"/>
    </row>
    <row r="10" spans="1:9" s="27" customFormat="1" ht="11.25" x14ac:dyDescent="0.2">
      <c r="A10" s="36" t="s">
        <v>65</v>
      </c>
      <c r="B10" s="37">
        <v>45701</v>
      </c>
      <c r="C10" s="38" t="s">
        <v>95</v>
      </c>
      <c r="D10" s="38" t="s">
        <v>103</v>
      </c>
      <c r="E10" s="39" t="s">
        <v>66</v>
      </c>
      <c r="F10" s="39" t="s">
        <v>73</v>
      </c>
      <c r="G10" s="40">
        <v>9804.94</v>
      </c>
      <c r="H10" s="38"/>
    </row>
    <row r="11" spans="1:9" s="27" customFormat="1" ht="11.25" x14ac:dyDescent="0.2">
      <c r="A11" s="36" t="s">
        <v>65</v>
      </c>
      <c r="B11" s="37">
        <v>45701</v>
      </c>
      <c r="C11" s="38" t="s">
        <v>95</v>
      </c>
      <c r="D11" s="38" t="s">
        <v>104</v>
      </c>
      <c r="E11" s="39" t="s">
        <v>66</v>
      </c>
      <c r="F11" s="39" t="s">
        <v>88</v>
      </c>
      <c r="G11" s="40">
        <v>1224.56</v>
      </c>
      <c r="H11" s="38"/>
    </row>
    <row r="12" spans="1:9" s="27" customFormat="1" ht="11.25" x14ac:dyDescent="0.2">
      <c r="A12" s="36" t="s">
        <v>65</v>
      </c>
      <c r="B12" s="37">
        <v>45701</v>
      </c>
      <c r="C12" s="38" t="s">
        <v>95</v>
      </c>
      <c r="D12" s="38" t="s">
        <v>105</v>
      </c>
      <c r="E12" s="39" t="s">
        <v>66</v>
      </c>
      <c r="F12" s="39" t="s">
        <v>74</v>
      </c>
      <c r="G12" s="40">
        <v>710726.23</v>
      </c>
      <c r="H12" s="38"/>
    </row>
    <row r="13" spans="1:9" s="27" customFormat="1" ht="11.25" x14ac:dyDescent="0.2">
      <c r="A13" s="36" t="s">
        <v>65</v>
      </c>
      <c r="B13" s="37">
        <v>45701</v>
      </c>
      <c r="C13" s="38" t="s">
        <v>95</v>
      </c>
      <c r="D13" s="38" t="s">
        <v>106</v>
      </c>
      <c r="E13" s="39" t="s">
        <v>66</v>
      </c>
      <c r="F13" s="39" t="s">
        <v>75</v>
      </c>
      <c r="G13" s="40">
        <v>50314.080000000002</v>
      </c>
      <c r="H13" s="38"/>
    </row>
    <row r="14" spans="1:9" s="27" customFormat="1" ht="11.25" x14ac:dyDescent="0.2">
      <c r="A14" s="36" t="s">
        <v>65</v>
      </c>
      <c r="B14" s="37">
        <v>45701</v>
      </c>
      <c r="C14" s="38" t="s">
        <v>95</v>
      </c>
      <c r="D14" s="38" t="s">
        <v>107</v>
      </c>
      <c r="E14" s="39" t="s">
        <v>66</v>
      </c>
      <c r="F14" s="39" t="s">
        <v>76</v>
      </c>
      <c r="G14" s="40">
        <v>327.45</v>
      </c>
      <c r="H14" s="38"/>
    </row>
    <row r="15" spans="1:9" s="27" customFormat="1" ht="11.25" x14ac:dyDescent="0.2">
      <c r="A15" s="36" t="s">
        <v>65</v>
      </c>
      <c r="B15" s="37">
        <v>45701</v>
      </c>
      <c r="C15" s="38" t="s">
        <v>95</v>
      </c>
      <c r="D15" s="38" t="s">
        <v>108</v>
      </c>
      <c r="E15" s="39" t="s">
        <v>66</v>
      </c>
      <c r="F15" s="39" t="s">
        <v>77</v>
      </c>
      <c r="G15" s="40">
        <v>386968.83</v>
      </c>
      <c r="H15" s="38"/>
    </row>
    <row r="16" spans="1:9" s="27" customFormat="1" ht="11.25" x14ac:dyDescent="0.2">
      <c r="A16" s="36" t="s">
        <v>65</v>
      </c>
      <c r="B16" s="37">
        <v>45701</v>
      </c>
      <c r="C16" s="38" t="s">
        <v>95</v>
      </c>
      <c r="D16" s="38" t="s">
        <v>109</v>
      </c>
      <c r="E16" s="39" t="s">
        <v>66</v>
      </c>
      <c r="F16" s="39" t="s">
        <v>78</v>
      </c>
      <c r="G16" s="40">
        <v>713.2</v>
      </c>
      <c r="H16" s="38"/>
    </row>
    <row r="17" spans="1:9" s="27" customFormat="1" ht="11.25" x14ac:dyDescent="0.2">
      <c r="A17" s="36" t="s">
        <v>65</v>
      </c>
      <c r="B17" s="37">
        <v>45701</v>
      </c>
      <c r="C17" s="38" t="s">
        <v>95</v>
      </c>
      <c r="D17" s="38" t="s">
        <v>110</v>
      </c>
      <c r="E17" s="51" t="s">
        <v>66</v>
      </c>
      <c r="F17" s="51" t="s">
        <v>79</v>
      </c>
      <c r="G17" s="52">
        <v>84</v>
      </c>
      <c r="H17" s="38"/>
    </row>
    <row r="18" spans="1:9" s="27" customFormat="1" ht="11.25" x14ac:dyDescent="0.2">
      <c r="A18" s="36" t="s">
        <v>65</v>
      </c>
      <c r="B18" s="37">
        <v>45701</v>
      </c>
      <c r="C18" s="38" t="s">
        <v>95</v>
      </c>
      <c r="D18" s="38" t="s">
        <v>111</v>
      </c>
      <c r="E18" s="39" t="s">
        <v>66</v>
      </c>
      <c r="F18" s="39" t="s">
        <v>81</v>
      </c>
      <c r="G18" s="40">
        <v>4501.58</v>
      </c>
      <c r="H18" s="38"/>
    </row>
    <row r="19" spans="1:9" s="27" customFormat="1" ht="11.25" x14ac:dyDescent="0.2">
      <c r="A19" s="36" t="s">
        <v>65</v>
      </c>
      <c r="B19" s="37">
        <v>45701</v>
      </c>
      <c r="C19" s="38" t="s">
        <v>95</v>
      </c>
      <c r="D19" s="38" t="s">
        <v>112</v>
      </c>
      <c r="E19" s="39" t="s">
        <v>66</v>
      </c>
      <c r="F19" s="39" t="s">
        <v>83</v>
      </c>
      <c r="G19" s="40">
        <v>75690.62</v>
      </c>
      <c r="H19" s="38"/>
    </row>
    <row r="20" spans="1:9" s="27" customFormat="1" ht="11.25" x14ac:dyDescent="0.2">
      <c r="A20" s="41" t="s">
        <v>65</v>
      </c>
      <c r="B20" s="37">
        <v>45701</v>
      </c>
      <c r="C20" s="38" t="s">
        <v>95</v>
      </c>
      <c r="D20" s="42" t="s">
        <v>113</v>
      </c>
      <c r="E20" s="39" t="s">
        <v>66</v>
      </c>
      <c r="F20" s="43" t="s">
        <v>83</v>
      </c>
      <c r="G20" s="44">
        <v>2267.14</v>
      </c>
      <c r="H20" s="45"/>
    </row>
    <row r="21" spans="1:9" s="47" customFormat="1" ht="11.25" x14ac:dyDescent="0.2">
      <c r="A21" s="56" t="s">
        <v>65</v>
      </c>
      <c r="B21" s="57">
        <v>45701</v>
      </c>
      <c r="C21" s="45" t="s">
        <v>95</v>
      </c>
      <c r="D21" s="45" t="s">
        <v>114</v>
      </c>
      <c r="E21" s="58" t="s">
        <v>66</v>
      </c>
      <c r="F21" s="58" t="s">
        <v>89</v>
      </c>
      <c r="G21" s="59">
        <v>111.18</v>
      </c>
      <c r="H21" s="63" t="s">
        <v>121</v>
      </c>
    </row>
    <row r="22" spans="1:9" s="49" customFormat="1" ht="11.25" x14ac:dyDescent="0.2">
      <c r="A22" s="36" t="s">
        <v>65</v>
      </c>
      <c r="B22" s="37">
        <v>45701</v>
      </c>
      <c r="C22" s="38" t="s">
        <v>95</v>
      </c>
      <c r="D22" s="38" t="s">
        <v>115</v>
      </c>
      <c r="E22" s="39" t="s">
        <v>66</v>
      </c>
      <c r="F22" s="39" t="s">
        <v>84</v>
      </c>
      <c r="G22" s="40">
        <v>184954.83</v>
      </c>
      <c r="H22" s="48"/>
    </row>
    <row r="23" spans="1:9" s="27" customFormat="1" ht="11.25" x14ac:dyDescent="0.2">
      <c r="A23" s="36" t="s">
        <v>65</v>
      </c>
      <c r="B23" s="37">
        <v>45701</v>
      </c>
      <c r="C23" s="38" t="s">
        <v>95</v>
      </c>
      <c r="D23" s="38" t="s">
        <v>116</v>
      </c>
      <c r="E23" s="39" t="s">
        <v>66</v>
      </c>
      <c r="F23" s="39" t="s">
        <v>93</v>
      </c>
      <c r="G23" s="40">
        <v>13.09</v>
      </c>
      <c r="H23" s="38"/>
    </row>
    <row r="24" spans="1:9" s="27" customFormat="1" ht="11.25" x14ac:dyDescent="0.2">
      <c r="A24" s="36" t="s">
        <v>65</v>
      </c>
      <c r="B24" s="37">
        <v>45701</v>
      </c>
      <c r="C24" s="38" t="s">
        <v>95</v>
      </c>
      <c r="D24" s="38" t="s">
        <v>117</v>
      </c>
      <c r="E24" s="39" t="s">
        <v>66</v>
      </c>
      <c r="F24" s="39" t="s">
        <v>94</v>
      </c>
      <c r="G24" s="40">
        <v>478.49</v>
      </c>
      <c r="H24" s="38"/>
    </row>
    <row r="25" spans="1:9" s="27" customFormat="1" ht="11.25" x14ac:dyDescent="0.2">
      <c r="A25" s="36" t="s">
        <v>65</v>
      </c>
      <c r="B25" s="37">
        <v>45701</v>
      </c>
      <c r="C25" s="38" t="s">
        <v>95</v>
      </c>
      <c r="D25" s="38" t="s">
        <v>118</v>
      </c>
      <c r="E25" s="39" t="s">
        <v>66</v>
      </c>
      <c r="F25" s="39" t="s">
        <v>85</v>
      </c>
      <c r="G25" s="40">
        <v>320.23</v>
      </c>
      <c r="H25" s="38"/>
    </row>
    <row r="26" spans="1:9" s="27" customFormat="1" ht="11.25" x14ac:dyDescent="0.2">
      <c r="A26" s="36" t="s">
        <v>65</v>
      </c>
      <c r="B26" s="37">
        <v>45701</v>
      </c>
      <c r="C26" s="38" t="s">
        <v>95</v>
      </c>
      <c r="D26" s="38" t="s">
        <v>119</v>
      </c>
      <c r="E26" s="39" t="s">
        <v>66</v>
      </c>
      <c r="F26" s="39" t="s">
        <v>90</v>
      </c>
      <c r="G26" s="40">
        <v>87239</v>
      </c>
      <c r="H26" s="46"/>
    </row>
    <row r="27" spans="1:9" s="27" customFormat="1" ht="11.25" x14ac:dyDescent="0.2">
      <c r="A27" s="36" t="s">
        <v>65</v>
      </c>
      <c r="B27" s="37">
        <v>45701</v>
      </c>
      <c r="C27" s="38" t="s">
        <v>95</v>
      </c>
      <c r="D27" s="50" t="s">
        <v>120</v>
      </c>
      <c r="E27" s="39" t="s">
        <v>66</v>
      </c>
      <c r="F27" s="51" t="s">
        <v>86</v>
      </c>
      <c r="G27" s="52">
        <v>470.99</v>
      </c>
      <c r="H27" s="53"/>
      <c r="I27" s="54"/>
    </row>
    <row r="28" spans="1:9" s="27" customFormat="1" ht="11.25" x14ac:dyDescent="0.2">
      <c r="G28" s="28"/>
      <c r="H28" s="29"/>
    </row>
    <row r="29" spans="1:9" s="35" customFormat="1" ht="11.25" x14ac:dyDescent="0.2">
      <c r="A29" s="30" t="s">
        <v>59</v>
      </c>
      <c r="B29" s="30" t="s">
        <v>2</v>
      </c>
      <c r="C29" s="31" t="s">
        <v>60</v>
      </c>
      <c r="D29" s="31" t="s">
        <v>61</v>
      </c>
      <c r="E29" s="32" t="s">
        <v>62</v>
      </c>
      <c r="F29" s="32" t="s">
        <v>63</v>
      </c>
      <c r="G29" s="33">
        <f>SUM(G30:G33)</f>
        <v>3493619.9800000004</v>
      </c>
      <c r="H29" s="31" t="s">
        <v>64</v>
      </c>
      <c r="I29" s="34"/>
    </row>
    <row r="30" spans="1:9" s="27" customFormat="1" ht="11.25" x14ac:dyDescent="0.2">
      <c r="A30" s="36" t="s">
        <v>65</v>
      </c>
      <c r="B30" s="37">
        <v>45701</v>
      </c>
      <c r="C30" s="55" t="s">
        <v>127</v>
      </c>
      <c r="D30" s="38" t="s">
        <v>123</v>
      </c>
      <c r="E30" s="39" t="s">
        <v>66</v>
      </c>
      <c r="F30" s="39" t="s">
        <v>71</v>
      </c>
      <c r="G30" s="40">
        <v>229</v>
      </c>
      <c r="H30" s="38"/>
    </row>
    <row r="31" spans="1:9" s="27" customFormat="1" ht="11.25" x14ac:dyDescent="0.2">
      <c r="A31" s="36" t="s">
        <v>65</v>
      </c>
      <c r="B31" s="37">
        <v>45701</v>
      </c>
      <c r="C31" s="55" t="s">
        <v>127</v>
      </c>
      <c r="D31" s="38" t="s">
        <v>124</v>
      </c>
      <c r="E31" s="39" t="s">
        <v>66</v>
      </c>
      <c r="F31" s="39" t="s">
        <v>74</v>
      </c>
      <c r="G31" s="40">
        <v>327604.14</v>
      </c>
      <c r="H31" s="38"/>
    </row>
    <row r="32" spans="1:9" s="27" customFormat="1" ht="11.25" x14ac:dyDescent="0.2">
      <c r="A32" s="36" t="s">
        <v>65</v>
      </c>
      <c r="B32" s="37">
        <v>45701</v>
      </c>
      <c r="C32" s="55" t="s">
        <v>127</v>
      </c>
      <c r="D32" s="38" t="s">
        <v>125</v>
      </c>
      <c r="E32" s="39" t="s">
        <v>66</v>
      </c>
      <c r="F32" s="39" t="s">
        <v>82</v>
      </c>
      <c r="G32" s="40">
        <v>3139248.72</v>
      </c>
      <c r="H32" s="38"/>
    </row>
    <row r="33" spans="1:9" s="27" customFormat="1" ht="11.25" x14ac:dyDescent="0.2">
      <c r="A33" s="36" t="s">
        <v>65</v>
      </c>
      <c r="B33" s="37">
        <v>45701</v>
      </c>
      <c r="C33" s="55" t="s">
        <v>127</v>
      </c>
      <c r="D33" s="38" t="s">
        <v>126</v>
      </c>
      <c r="E33" s="39" t="s">
        <v>66</v>
      </c>
      <c r="F33" s="39" t="s">
        <v>83</v>
      </c>
      <c r="G33" s="40">
        <v>26538.12</v>
      </c>
      <c r="H33" s="38"/>
      <c r="I33" s="60"/>
    </row>
    <row r="35" spans="1:9" s="35" customFormat="1" ht="11.25" x14ac:dyDescent="0.2">
      <c r="A35" s="30" t="s">
        <v>59</v>
      </c>
      <c r="B35" s="30" t="s">
        <v>2</v>
      </c>
      <c r="C35" s="31" t="s">
        <v>60</v>
      </c>
      <c r="D35" s="31" t="s">
        <v>61</v>
      </c>
      <c r="E35" s="32" t="s">
        <v>62</v>
      </c>
      <c r="F35" s="32" t="s">
        <v>63</v>
      </c>
      <c r="G35" s="33">
        <f>SUM(G36:G43)</f>
        <v>18292924.670000002</v>
      </c>
      <c r="H35" s="31" t="s">
        <v>64</v>
      </c>
      <c r="I35" s="34"/>
    </row>
    <row r="36" spans="1:9" s="27" customFormat="1" ht="11.25" x14ac:dyDescent="0.2">
      <c r="A36" s="36" t="s">
        <v>65</v>
      </c>
      <c r="B36" s="37">
        <v>45702</v>
      </c>
      <c r="C36" s="55" t="s">
        <v>136</v>
      </c>
      <c r="D36" s="38" t="s">
        <v>128</v>
      </c>
      <c r="E36" s="39" t="s">
        <v>66</v>
      </c>
      <c r="F36" s="39" t="s">
        <v>87</v>
      </c>
      <c r="G36" s="40">
        <v>7619659.8899999997</v>
      </c>
      <c r="H36" s="38"/>
    </row>
    <row r="37" spans="1:9" s="27" customFormat="1" ht="11.25" x14ac:dyDescent="0.2">
      <c r="A37" s="36" t="s">
        <v>65</v>
      </c>
      <c r="B37" s="37">
        <v>45702</v>
      </c>
      <c r="C37" s="55" t="s">
        <v>136</v>
      </c>
      <c r="D37" s="38" t="s">
        <v>129</v>
      </c>
      <c r="E37" s="39" t="s">
        <v>66</v>
      </c>
      <c r="F37" s="39" t="s">
        <v>92</v>
      </c>
      <c r="G37" s="40">
        <v>20585.63</v>
      </c>
      <c r="H37" s="38"/>
    </row>
    <row r="38" spans="1:9" s="27" customFormat="1" ht="11.25" x14ac:dyDescent="0.2">
      <c r="A38" s="36" t="s">
        <v>65</v>
      </c>
      <c r="B38" s="37">
        <v>45702</v>
      </c>
      <c r="C38" s="55" t="s">
        <v>136</v>
      </c>
      <c r="D38" s="38" t="s">
        <v>130</v>
      </c>
      <c r="E38" s="39" t="s">
        <v>66</v>
      </c>
      <c r="F38" s="39" t="s">
        <v>87</v>
      </c>
      <c r="G38" s="40">
        <v>3742.61</v>
      </c>
      <c r="H38" s="38"/>
    </row>
    <row r="39" spans="1:9" s="27" customFormat="1" ht="11.25" x14ac:dyDescent="0.2">
      <c r="A39" s="36" t="s">
        <v>65</v>
      </c>
      <c r="B39" s="37">
        <v>45702</v>
      </c>
      <c r="C39" s="55" t="s">
        <v>136</v>
      </c>
      <c r="D39" s="38" t="s">
        <v>131</v>
      </c>
      <c r="E39" s="39" t="s">
        <v>66</v>
      </c>
      <c r="F39" s="39" t="s">
        <v>91</v>
      </c>
      <c r="G39" s="40">
        <v>2779824.17</v>
      </c>
      <c r="H39" s="38"/>
    </row>
    <row r="40" spans="1:9" s="27" customFormat="1" ht="11.25" x14ac:dyDescent="0.2">
      <c r="A40" s="36" t="s">
        <v>65</v>
      </c>
      <c r="B40" s="37">
        <v>45702</v>
      </c>
      <c r="C40" s="55" t="s">
        <v>136</v>
      </c>
      <c r="D40" s="38" t="s">
        <v>132</v>
      </c>
      <c r="E40" s="39" t="s">
        <v>66</v>
      </c>
      <c r="F40" s="39" t="s">
        <v>91</v>
      </c>
      <c r="G40" s="40">
        <v>5031863.5999999996</v>
      </c>
      <c r="H40" s="38"/>
    </row>
    <row r="41" spans="1:9" s="27" customFormat="1" ht="11.25" x14ac:dyDescent="0.2">
      <c r="A41" s="36" t="s">
        <v>65</v>
      </c>
      <c r="B41" s="37">
        <v>45702</v>
      </c>
      <c r="C41" s="55" t="s">
        <v>136</v>
      </c>
      <c r="D41" s="38" t="s">
        <v>133</v>
      </c>
      <c r="E41" s="39" t="s">
        <v>66</v>
      </c>
      <c r="F41" s="39" t="s">
        <v>92</v>
      </c>
      <c r="G41" s="40">
        <v>52204.18</v>
      </c>
      <c r="H41" s="38"/>
    </row>
    <row r="42" spans="1:9" s="27" customFormat="1" ht="11.25" x14ac:dyDescent="0.2">
      <c r="A42" s="36" t="s">
        <v>65</v>
      </c>
      <c r="B42" s="37">
        <v>45702</v>
      </c>
      <c r="C42" s="55" t="s">
        <v>136</v>
      </c>
      <c r="D42" s="38" t="s">
        <v>134</v>
      </c>
      <c r="E42" s="39" t="s">
        <v>66</v>
      </c>
      <c r="F42" s="39" t="s">
        <v>92</v>
      </c>
      <c r="G42" s="40">
        <v>5220.42</v>
      </c>
      <c r="H42" s="38"/>
    </row>
    <row r="43" spans="1:9" s="27" customFormat="1" ht="11.25" x14ac:dyDescent="0.2">
      <c r="A43" s="36" t="s">
        <v>65</v>
      </c>
      <c r="B43" s="37">
        <v>45702</v>
      </c>
      <c r="C43" s="55" t="s">
        <v>136</v>
      </c>
      <c r="D43" s="38" t="s">
        <v>135</v>
      </c>
      <c r="E43" s="39" t="s">
        <v>66</v>
      </c>
      <c r="F43" s="39" t="s">
        <v>91</v>
      </c>
      <c r="G43" s="40">
        <v>2779824.17</v>
      </c>
      <c r="H43" s="38"/>
    </row>
    <row r="45" spans="1:9" s="35" customFormat="1" ht="11.25" x14ac:dyDescent="0.2">
      <c r="A45" s="30" t="s">
        <v>59</v>
      </c>
      <c r="B45" s="30" t="s">
        <v>2</v>
      </c>
      <c r="C45" s="31" t="s">
        <v>60</v>
      </c>
      <c r="D45" s="31" t="s">
        <v>61</v>
      </c>
      <c r="E45" s="32" t="s">
        <v>62</v>
      </c>
      <c r="F45" s="32" t="s">
        <v>63</v>
      </c>
      <c r="G45" s="33">
        <f>SUM(G46:G49)</f>
        <v>5528457.5600000005</v>
      </c>
      <c r="H45" s="31" t="s">
        <v>64</v>
      </c>
      <c r="I45" s="34"/>
    </row>
    <row r="46" spans="1:9" s="27" customFormat="1" ht="11.25" x14ac:dyDescent="0.2">
      <c r="A46" s="36" t="s">
        <v>65</v>
      </c>
      <c r="B46" s="37">
        <v>45705</v>
      </c>
      <c r="C46" s="55" t="s">
        <v>137</v>
      </c>
      <c r="D46" s="38" t="s">
        <v>138</v>
      </c>
      <c r="E46" s="39" t="s">
        <v>66</v>
      </c>
      <c r="F46" s="51" t="s">
        <v>87</v>
      </c>
      <c r="G46" s="52">
        <v>496593.96</v>
      </c>
      <c r="H46" s="38"/>
      <c r="I46" s="60"/>
    </row>
    <row r="47" spans="1:9" s="27" customFormat="1" ht="11.25" x14ac:dyDescent="0.2">
      <c r="A47" s="36" t="s">
        <v>65</v>
      </c>
      <c r="B47" s="37">
        <v>45705</v>
      </c>
      <c r="C47" s="55" t="s">
        <v>137</v>
      </c>
      <c r="D47" s="38" t="s">
        <v>139</v>
      </c>
      <c r="E47" s="39" t="s">
        <v>66</v>
      </c>
      <c r="F47" s="51" t="s">
        <v>91</v>
      </c>
      <c r="G47" s="52">
        <v>597619.07999999996</v>
      </c>
      <c r="H47" s="38"/>
      <c r="I47" s="60"/>
    </row>
    <row r="48" spans="1:9" s="27" customFormat="1" ht="11.25" x14ac:dyDescent="0.2">
      <c r="A48" s="36" t="s">
        <v>65</v>
      </c>
      <c r="B48" s="37">
        <v>45705</v>
      </c>
      <c r="C48" s="55" t="s">
        <v>137</v>
      </c>
      <c r="D48" s="38" t="s">
        <v>140</v>
      </c>
      <c r="E48" s="39" t="s">
        <v>66</v>
      </c>
      <c r="F48" s="39" t="s">
        <v>91</v>
      </c>
      <c r="G48" s="40">
        <v>2646092.92</v>
      </c>
      <c r="H48" s="38"/>
    </row>
    <row r="49" spans="1:8" s="27" customFormat="1" ht="11.25" x14ac:dyDescent="0.2">
      <c r="A49" s="36" t="s">
        <v>65</v>
      </c>
      <c r="B49" s="37">
        <v>45705</v>
      </c>
      <c r="C49" s="55" t="s">
        <v>137</v>
      </c>
      <c r="D49" s="38" t="s">
        <v>141</v>
      </c>
      <c r="E49" s="39" t="s">
        <v>66</v>
      </c>
      <c r="F49" s="39" t="s">
        <v>91</v>
      </c>
      <c r="G49" s="40">
        <v>1788151.6</v>
      </c>
      <c r="H49" s="38"/>
    </row>
    <row r="51" spans="1:8" s="35" customFormat="1" ht="11.25" x14ac:dyDescent="0.2">
      <c r="A51" s="30" t="s">
        <v>59</v>
      </c>
      <c r="B51" s="30" t="s">
        <v>2</v>
      </c>
      <c r="C51" s="31" t="s">
        <v>60</v>
      </c>
      <c r="D51" s="31" t="s">
        <v>61</v>
      </c>
      <c r="E51" s="32" t="s">
        <v>62</v>
      </c>
      <c r="F51" s="32" t="s">
        <v>63</v>
      </c>
      <c r="G51" s="33">
        <f>SUM(G52:G52)</f>
        <v>333.78</v>
      </c>
      <c r="H51" s="31" t="s">
        <v>64</v>
      </c>
    </row>
    <row r="52" spans="1:8" s="27" customFormat="1" ht="11.25" x14ac:dyDescent="0.2">
      <c r="A52" s="36" t="s">
        <v>65</v>
      </c>
      <c r="B52" s="37">
        <v>45709</v>
      </c>
      <c r="C52" s="55" t="s">
        <v>142</v>
      </c>
      <c r="D52" s="38" t="s">
        <v>143</v>
      </c>
      <c r="E52" s="39" t="s">
        <v>66</v>
      </c>
      <c r="F52" s="39" t="s">
        <v>87</v>
      </c>
      <c r="G52" s="40">
        <v>333.78</v>
      </c>
      <c r="H52" s="38"/>
    </row>
    <row r="54" spans="1:8" s="35" customFormat="1" ht="11.25" x14ac:dyDescent="0.2">
      <c r="A54" s="30" t="s">
        <v>59</v>
      </c>
      <c r="B54" s="30" t="s">
        <v>2</v>
      </c>
      <c r="C54" s="31" t="s">
        <v>60</v>
      </c>
      <c r="D54" s="31" t="s">
        <v>61</v>
      </c>
      <c r="E54" s="32" t="s">
        <v>62</v>
      </c>
      <c r="F54" s="32" t="s">
        <v>63</v>
      </c>
      <c r="G54" s="33">
        <f>SUM(G55:G59)</f>
        <v>324463.94</v>
      </c>
      <c r="H54" s="31" t="s">
        <v>64</v>
      </c>
    </row>
    <row r="55" spans="1:8" s="27" customFormat="1" ht="11.25" x14ac:dyDescent="0.2">
      <c r="A55" s="36" t="s">
        <v>65</v>
      </c>
      <c r="B55" s="37">
        <v>45715</v>
      </c>
      <c r="C55" s="55" t="s">
        <v>144</v>
      </c>
      <c r="D55" s="38" t="s">
        <v>145</v>
      </c>
      <c r="E55" s="39" t="s">
        <v>66</v>
      </c>
      <c r="F55" s="61" t="s">
        <v>87</v>
      </c>
      <c r="G55" s="40">
        <v>4199.28</v>
      </c>
      <c r="H55" s="38"/>
    </row>
    <row r="56" spans="1:8" s="27" customFormat="1" ht="11.25" x14ac:dyDescent="0.2">
      <c r="A56" s="36" t="s">
        <v>65</v>
      </c>
      <c r="B56" s="37">
        <v>45715</v>
      </c>
      <c r="C56" s="55" t="s">
        <v>144</v>
      </c>
      <c r="D56" s="38" t="s">
        <v>146</v>
      </c>
      <c r="E56" s="39" t="s">
        <v>66</v>
      </c>
      <c r="F56" s="61" t="s">
        <v>87</v>
      </c>
      <c r="G56" s="40">
        <v>84800.3</v>
      </c>
      <c r="H56" s="38"/>
    </row>
    <row r="57" spans="1:8" s="27" customFormat="1" ht="11.25" x14ac:dyDescent="0.2">
      <c r="A57" s="36" t="s">
        <v>65</v>
      </c>
      <c r="B57" s="37">
        <v>45715</v>
      </c>
      <c r="C57" s="55" t="s">
        <v>144</v>
      </c>
      <c r="D57" s="38" t="s">
        <v>147</v>
      </c>
      <c r="E57" s="39" t="s">
        <v>66</v>
      </c>
      <c r="F57" s="61" t="s">
        <v>87</v>
      </c>
      <c r="G57" s="40">
        <v>113103.55</v>
      </c>
      <c r="H57" s="38"/>
    </row>
    <row r="58" spans="1:8" s="27" customFormat="1" ht="11.25" x14ac:dyDescent="0.2">
      <c r="A58" s="36" t="s">
        <v>65</v>
      </c>
      <c r="B58" s="37">
        <v>45715</v>
      </c>
      <c r="C58" s="55" t="s">
        <v>144</v>
      </c>
      <c r="D58" s="38" t="s">
        <v>148</v>
      </c>
      <c r="E58" s="39" t="s">
        <v>66</v>
      </c>
      <c r="F58" s="61" t="s">
        <v>87</v>
      </c>
      <c r="G58" s="40">
        <v>73190.77</v>
      </c>
      <c r="H58" s="38"/>
    </row>
    <row r="59" spans="1:8" s="27" customFormat="1" ht="11.25" x14ac:dyDescent="0.2">
      <c r="A59" s="36" t="s">
        <v>65</v>
      </c>
      <c r="B59" s="37">
        <v>45715</v>
      </c>
      <c r="C59" s="55" t="s">
        <v>144</v>
      </c>
      <c r="D59" s="38" t="s">
        <v>149</v>
      </c>
      <c r="E59" s="39" t="s">
        <v>66</v>
      </c>
      <c r="F59" s="61" t="s">
        <v>87</v>
      </c>
      <c r="G59" s="40">
        <v>49170.04</v>
      </c>
      <c r="H59" s="3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3"/>
  <sheetViews>
    <sheetView workbookViewId="0">
      <selection activeCell="C63" sqref="C63:C75"/>
    </sheetView>
  </sheetViews>
  <sheetFormatPr defaultRowHeight="15" x14ac:dyDescent="0.25"/>
  <cols>
    <col min="1" max="1" width="12.140625" style="2" customWidth="1"/>
    <col min="2" max="2" width="28.7109375" customWidth="1"/>
    <col min="3" max="3" width="15.28515625" bestFit="1" customWidth="1"/>
    <col min="4" max="4" width="4.5703125" style="2" customWidth="1"/>
    <col min="5" max="5" width="46.28515625" customWidth="1"/>
  </cols>
  <sheetData>
    <row r="1" spans="1:5" x14ac:dyDescent="0.25">
      <c r="A1" s="2" t="s">
        <v>0</v>
      </c>
      <c r="C1" s="14"/>
      <c r="E1" s="14"/>
    </row>
    <row r="2" spans="1:5" x14ac:dyDescent="0.25">
      <c r="A2" s="2" t="s">
        <v>1</v>
      </c>
      <c r="C2" s="1">
        <f>SUBTOTAL(9,C4:C99)</f>
        <v>143228208.23999998</v>
      </c>
      <c r="E2" s="14"/>
    </row>
    <row r="3" spans="1:5" x14ac:dyDescent="0.25">
      <c r="A3" s="3" t="s">
        <v>2</v>
      </c>
      <c r="B3" s="4" t="s">
        <v>3</v>
      </c>
      <c r="C3" s="4" t="s">
        <v>4</v>
      </c>
      <c r="D3" s="3" t="s">
        <v>5</v>
      </c>
      <c r="E3" s="4" t="s">
        <v>6</v>
      </c>
    </row>
    <row r="4" spans="1:5" x14ac:dyDescent="0.25">
      <c r="A4" s="5" t="s">
        <v>9</v>
      </c>
      <c r="B4" s="6" t="s">
        <v>10</v>
      </c>
      <c r="C4" s="7">
        <v>33292.32</v>
      </c>
      <c r="D4" s="5" t="s">
        <v>7</v>
      </c>
      <c r="E4" s="6" t="s">
        <v>42</v>
      </c>
    </row>
    <row r="5" spans="1:5" x14ac:dyDescent="0.25">
      <c r="A5" s="5" t="s">
        <v>9</v>
      </c>
      <c r="B5" s="6" t="s">
        <v>11</v>
      </c>
      <c r="C5" s="7">
        <v>801.48</v>
      </c>
      <c r="D5" s="5" t="s">
        <v>7</v>
      </c>
      <c r="E5" s="6" t="s">
        <v>42</v>
      </c>
    </row>
    <row r="6" spans="1:5" x14ac:dyDescent="0.25">
      <c r="A6" s="5" t="s">
        <v>9</v>
      </c>
      <c r="B6" s="6" t="s">
        <v>12</v>
      </c>
      <c r="C6" s="7">
        <v>1473123.32</v>
      </c>
      <c r="D6" s="5" t="s">
        <v>7</v>
      </c>
      <c r="E6" s="6" t="s">
        <v>42</v>
      </c>
    </row>
    <row r="7" spans="1:5" x14ac:dyDescent="0.25">
      <c r="A7" s="5" t="s">
        <v>9</v>
      </c>
      <c r="B7" s="6" t="s">
        <v>13</v>
      </c>
      <c r="C7" s="7">
        <v>974097.66</v>
      </c>
      <c r="D7" s="5" t="s">
        <v>7</v>
      </c>
      <c r="E7" s="6" t="s">
        <v>42</v>
      </c>
    </row>
    <row r="8" spans="1:5" x14ac:dyDescent="0.25">
      <c r="A8" s="5" t="s">
        <v>9</v>
      </c>
      <c r="B8" s="6" t="s">
        <v>13</v>
      </c>
      <c r="C8" s="7">
        <v>2264490.48</v>
      </c>
      <c r="D8" s="5" t="s">
        <v>7</v>
      </c>
      <c r="E8" s="6" t="s">
        <v>42</v>
      </c>
    </row>
    <row r="9" spans="1:5" x14ac:dyDescent="0.25">
      <c r="A9" s="5" t="s">
        <v>9</v>
      </c>
      <c r="B9" s="6" t="s">
        <v>13</v>
      </c>
      <c r="C9" s="7">
        <v>26660819.34</v>
      </c>
      <c r="D9" s="5" t="s">
        <v>7</v>
      </c>
      <c r="E9" s="6" t="s">
        <v>42</v>
      </c>
    </row>
    <row r="10" spans="1:5" x14ac:dyDescent="0.25">
      <c r="A10" s="5" t="s">
        <v>9</v>
      </c>
      <c r="B10" s="6" t="s">
        <v>13</v>
      </c>
      <c r="C10" s="7">
        <v>11459.95</v>
      </c>
      <c r="D10" s="5" t="s">
        <v>7</v>
      </c>
      <c r="E10" s="6" t="s">
        <v>42</v>
      </c>
    </row>
    <row r="11" spans="1:5" x14ac:dyDescent="0.25">
      <c r="A11" s="12" t="s">
        <v>9</v>
      </c>
      <c r="B11" s="11" t="s">
        <v>14</v>
      </c>
      <c r="C11" s="13">
        <v>21145.69</v>
      </c>
      <c r="D11" s="12" t="s">
        <v>7</v>
      </c>
      <c r="E11" s="11" t="s">
        <v>43</v>
      </c>
    </row>
    <row r="12" spans="1:5" x14ac:dyDescent="0.25">
      <c r="A12" s="5" t="s">
        <v>9</v>
      </c>
      <c r="B12" s="6" t="s">
        <v>14</v>
      </c>
      <c r="C12" s="7">
        <v>12267.68</v>
      </c>
      <c r="D12" s="5" t="s">
        <v>7</v>
      </c>
      <c r="E12" s="6" t="s">
        <v>42</v>
      </c>
    </row>
    <row r="13" spans="1:5" hidden="1" x14ac:dyDescent="0.25">
      <c r="A13" s="12" t="s">
        <v>9</v>
      </c>
      <c r="B13" s="11" t="s">
        <v>15</v>
      </c>
      <c r="C13" s="13">
        <v>21145.69</v>
      </c>
      <c r="D13" s="12" t="s">
        <v>16</v>
      </c>
      <c r="E13" s="11" t="s">
        <v>43</v>
      </c>
    </row>
    <row r="14" spans="1:5" hidden="1" x14ac:dyDescent="0.25">
      <c r="A14" s="15" t="s">
        <v>9</v>
      </c>
      <c r="B14" s="16" t="s">
        <v>17</v>
      </c>
      <c r="C14" s="17">
        <v>31430352.23</v>
      </c>
      <c r="D14" s="15" t="s">
        <v>16</v>
      </c>
      <c r="E14" s="16" t="s">
        <v>44</v>
      </c>
    </row>
    <row r="15" spans="1:5" hidden="1" x14ac:dyDescent="0.25">
      <c r="A15" s="8" t="s">
        <v>18</v>
      </c>
      <c r="B15" s="9" t="s">
        <v>19</v>
      </c>
      <c r="C15" s="10">
        <v>1664.17</v>
      </c>
      <c r="D15" s="8" t="s">
        <v>16</v>
      </c>
      <c r="E15" s="9" t="s">
        <v>241</v>
      </c>
    </row>
    <row r="16" spans="1:5" hidden="1" x14ac:dyDescent="0.25">
      <c r="A16" s="8" t="s">
        <v>18</v>
      </c>
      <c r="B16" s="9" t="s">
        <v>19</v>
      </c>
      <c r="C16" s="10">
        <v>22032.07</v>
      </c>
      <c r="D16" s="8" t="s">
        <v>16</v>
      </c>
      <c r="E16" s="9" t="s">
        <v>241</v>
      </c>
    </row>
    <row r="17" spans="1:5" hidden="1" x14ac:dyDescent="0.25">
      <c r="A17" s="8" t="s">
        <v>18</v>
      </c>
      <c r="B17" s="9" t="s">
        <v>19</v>
      </c>
      <c r="C17" s="10">
        <v>36639.1</v>
      </c>
      <c r="D17" s="8" t="s">
        <v>16</v>
      </c>
      <c r="E17" s="9" t="s">
        <v>241</v>
      </c>
    </row>
    <row r="18" spans="1:5" hidden="1" x14ac:dyDescent="0.25">
      <c r="A18" s="8" t="s">
        <v>18</v>
      </c>
      <c r="B18" s="9" t="s">
        <v>19</v>
      </c>
      <c r="C18" s="10">
        <v>23441.86</v>
      </c>
      <c r="D18" s="8" t="s">
        <v>16</v>
      </c>
      <c r="E18" s="9" t="s">
        <v>241</v>
      </c>
    </row>
    <row r="19" spans="1:5" hidden="1" x14ac:dyDescent="0.25">
      <c r="A19" s="8" t="s">
        <v>18</v>
      </c>
      <c r="B19" s="9" t="s">
        <v>19</v>
      </c>
      <c r="C19" s="10">
        <v>14194.07</v>
      </c>
      <c r="D19" s="8" t="s">
        <v>16</v>
      </c>
      <c r="E19" s="9" t="s">
        <v>241</v>
      </c>
    </row>
    <row r="20" spans="1:5" x14ac:dyDescent="0.25">
      <c r="A20" s="15" t="s">
        <v>18</v>
      </c>
      <c r="B20" s="16" t="s">
        <v>20</v>
      </c>
      <c r="C20" s="17">
        <v>97971.27</v>
      </c>
      <c r="D20" s="15" t="s">
        <v>7</v>
      </c>
      <c r="E20" s="16" t="s">
        <v>20</v>
      </c>
    </row>
    <row r="21" spans="1:5" hidden="1" x14ac:dyDescent="0.25">
      <c r="A21" s="8" t="s">
        <v>21</v>
      </c>
      <c r="B21" s="9" t="s">
        <v>22</v>
      </c>
      <c r="C21" s="10">
        <v>15241947.15</v>
      </c>
      <c r="D21" s="8" t="s">
        <v>16</v>
      </c>
      <c r="E21" s="9" t="s">
        <v>241</v>
      </c>
    </row>
    <row r="22" spans="1:5" hidden="1" x14ac:dyDescent="0.25">
      <c r="A22" s="8" t="s">
        <v>21</v>
      </c>
      <c r="B22" s="9" t="s">
        <v>22</v>
      </c>
      <c r="C22" s="10">
        <v>181043.96</v>
      </c>
      <c r="D22" s="8" t="s">
        <v>16</v>
      </c>
      <c r="E22" s="9" t="s">
        <v>241</v>
      </c>
    </row>
    <row r="23" spans="1:5" hidden="1" x14ac:dyDescent="0.25">
      <c r="A23" s="8" t="s">
        <v>21</v>
      </c>
      <c r="B23" s="9" t="s">
        <v>22</v>
      </c>
      <c r="C23" s="10">
        <v>4406.1099999999997</v>
      </c>
      <c r="D23" s="8" t="s">
        <v>16</v>
      </c>
      <c r="E23" s="9" t="s">
        <v>241</v>
      </c>
    </row>
    <row r="24" spans="1:5" hidden="1" x14ac:dyDescent="0.25">
      <c r="A24" s="8" t="s">
        <v>21</v>
      </c>
      <c r="B24" s="9" t="s">
        <v>22</v>
      </c>
      <c r="C24" s="10">
        <v>172507.11</v>
      </c>
      <c r="D24" s="8" t="s">
        <v>16</v>
      </c>
      <c r="E24" s="9" t="s">
        <v>241</v>
      </c>
    </row>
    <row r="25" spans="1:5" x14ac:dyDescent="0.25">
      <c r="A25" s="15" t="s">
        <v>21</v>
      </c>
      <c r="B25" s="16" t="s">
        <v>20</v>
      </c>
      <c r="C25" s="17">
        <v>15599904.33</v>
      </c>
      <c r="D25" s="15" t="s">
        <v>7</v>
      </c>
      <c r="E25" s="16" t="s">
        <v>20</v>
      </c>
    </row>
    <row r="26" spans="1:5" hidden="1" x14ac:dyDescent="0.25">
      <c r="A26" s="18" t="s">
        <v>23</v>
      </c>
      <c r="B26" s="19" t="s">
        <v>24</v>
      </c>
      <c r="C26" s="20">
        <v>168.27</v>
      </c>
      <c r="D26" s="18" t="s">
        <v>16</v>
      </c>
      <c r="E26" s="19" t="s">
        <v>45</v>
      </c>
    </row>
    <row r="27" spans="1:5" x14ac:dyDescent="0.25">
      <c r="A27" s="15" t="s">
        <v>23</v>
      </c>
      <c r="B27" s="16" t="s">
        <v>20</v>
      </c>
      <c r="C27" s="17">
        <v>168.27</v>
      </c>
      <c r="D27" s="15" t="s">
        <v>7</v>
      </c>
      <c r="E27" s="16" t="s">
        <v>20</v>
      </c>
    </row>
    <row r="28" spans="1:5" hidden="1" x14ac:dyDescent="0.25">
      <c r="A28" s="8" t="s">
        <v>25</v>
      </c>
      <c r="B28" s="9" t="s">
        <v>26</v>
      </c>
      <c r="C28" s="10">
        <v>333.78</v>
      </c>
      <c r="D28" s="8" t="s">
        <v>16</v>
      </c>
      <c r="E28" s="9" t="s">
        <v>27</v>
      </c>
    </row>
    <row r="29" spans="1:5" hidden="1" x14ac:dyDescent="0.25">
      <c r="A29" s="8" t="s">
        <v>25</v>
      </c>
      <c r="B29" s="9" t="s">
        <v>26</v>
      </c>
      <c r="C29" s="10">
        <v>333.78</v>
      </c>
      <c r="D29" s="8" t="s">
        <v>16</v>
      </c>
      <c r="E29" s="9" t="s">
        <v>27</v>
      </c>
    </row>
    <row r="30" spans="1:5" hidden="1" x14ac:dyDescent="0.25">
      <c r="A30" s="8" t="s">
        <v>25</v>
      </c>
      <c r="B30" s="9" t="s">
        <v>28</v>
      </c>
      <c r="C30" s="10">
        <v>21025.56</v>
      </c>
      <c r="D30" s="8" t="s">
        <v>16</v>
      </c>
      <c r="E30" s="85" t="s">
        <v>66</v>
      </c>
    </row>
    <row r="31" spans="1:5" hidden="1" x14ac:dyDescent="0.25">
      <c r="A31" s="8" t="s">
        <v>25</v>
      </c>
      <c r="B31" s="9" t="s">
        <v>28</v>
      </c>
      <c r="C31" s="10">
        <v>52794.41</v>
      </c>
      <c r="D31" s="8" t="s">
        <v>16</v>
      </c>
      <c r="E31" s="85" t="s">
        <v>66</v>
      </c>
    </row>
    <row r="32" spans="1:5" hidden="1" x14ac:dyDescent="0.25">
      <c r="A32" s="8" t="s">
        <v>25</v>
      </c>
      <c r="B32" s="9" t="s">
        <v>28</v>
      </c>
      <c r="C32" s="10">
        <v>5279.44</v>
      </c>
      <c r="D32" s="8" t="s">
        <v>16</v>
      </c>
      <c r="E32" s="85" t="s">
        <v>66</v>
      </c>
    </row>
    <row r="33" spans="1:5" x14ac:dyDescent="0.25">
      <c r="A33" s="15" t="s">
        <v>25</v>
      </c>
      <c r="B33" s="16" t="s">
        <v>20</v>
      </c>
      <c r="C33" s="17">
        <v>79766.97</v>
      </c>
      <c r="D33" s="15" t="s">
        <v>7</v>
      </c>
      <c r="E33" s="16" t="s">
        <v>20</v>
      </c>
    </row>
    <row r="34" spans="1:5" x14ac:dyDescent="0.25">
      <c r="A34" s="5" t="s">
        <v>29</v>
      </c>
      <c r="B34" s="6" t="s">
        <v>30</v>
      </c>
      <c r="C34" s="7">
        <v>353.48</v>
      </c>
      <c r="D34" s="5" t="s">
        <v>7</v>
      </c>
      <c r="E34" s="6" t="s">
        <v>42</v>
      </c>
    </row>
    <row r="35" spans="1:5" x14ac:dyDescent="0.25">
      <c r="A35" s="5" t="s">
        <v>29</v>
      </c>
      <c r="B35" s="6" t="s">
        <v>30</v>
      </c>
      <c r="C35" s="7">
        <v>3759.07</v>
      </c>
      <c r="D35" s="5" t="s">
        <v>7</v>
      </c>
      <c r="E35" s="6" t="s">
        <v>42</v>
      </c>
    </row>
    <row r="36" spans="1:5" x14ac:dyDescent="0.25">
      <c r="A36" s="5" t="s">
        <v>29</v>
      </c>
      <c r="B36" s="6" t="s">
        <v>10</v>
      </c>
      <c r="C36" s="7">
        <v>1056.42</v>
      </c>
      <c r="D36" s="5" t="s">
        <v>7</v>
      </c>
      <c r="E36" s="6" t="s">
        <v>42</v>
      </c>
    </row>
    <row r="37" spans="1:5" x14ac:dyDescent="0.25">
      <c r="A37" s="5" t="s">
        <v>29</v>
      </c>
      <c r="B37" s="6" t="s">
        <v>12</v>
      </c>
      <c r="C37" s="7">
        <v>162694.97</v>
      </c>
      <c r="D37" s="5" t="s">
        <v>7</v>
      </c>
      <c r="E37" s="6" t="s">
        <v>42</v>
      </c>
    </row>
    <row r="38" spans="1:5" x14ac:dyDescent="0.25">
      <c r="A38" s="5" t="s">
        <v>29</v>
      </c>
      <c r="B38" s="6" t="s">
        <v>12</v>
      </c>
      <c r="C38" s="7">
        <v>143655.44</v>
      </c>
      <c r="D38" s="5" t="s">
        <v>7</v>
      </c>
      <c r="E38" s="6" t="s">
        <v>42</v>
      </c>
    </row>
    <row r="39" spans="1:5" hidden="1" x14ac:dyDescent="0.25">
      <c r="A39" s="18" t="s">
        <v>29</v>
      </c>
      <c r="B39" s="19" t="s">
        <v>24</v>
      </c>
      <c r="C39" s="20">
        <v>193.38</v>
      </c>
      <c r="D39" s="18" t="s">
        <v>16</v>
      </c>
      <c r="E39" s="19" t="s">
        <v>45</v>
      </c>
    </row>
    <row r="40" spans="1:5" hidden="1" x14ac:dyDescent="0.25">
      <c r="A40" s="15" t="s">
        <v>29</v>
      </c>
      <c r="B40" s="16" t="s">
        <v>17</v>
      </c>
      <c r="C40" s="17">
        <v>311326</v>
      </c>
      <c r="D40" s="15" t="s">
        <v>16</v>
      </c>
      <c r="E40" s="16" t="s">
        <v>44</v>
      </c>
    </row>
    <row r="41" spans="1:5" x14ac:dyDescent="0.25">
      <c r="A41" s="5" t="s">
        <v>31</v>
      </c>
      <c r="B41" s="6" t="s">
        <v>11</v>
      </c>
      <c r="C41" s="7">
        <v>592.71</v>
      </c>
      <c r="D41" s="5" t="s">
        <v>7</v>
      </c>
      <c r="E41" s="6" t="s">
        <v>42</v>
      </c>
    </row>
    <row r="42" spans="1:5" x14ac:dyDescent="0.25">
      <c r="A42" s="5" t="s">
        <v>31</v>
      </c>
      <c r="B42" s="6" t="s">
        <v>13</v>
      </c>
      <c r="C42" s="7">
        <v>359643.35</v>
      </c>
      <c r="D42" s="5" t="s">
        <v>7</v>
      </c>
      <c r="E42" s="6" t="s">
        <v>42</v>
      </c>
    </row>
    <row r="43" spans="1:5" x14ac:dyDescent="0.25">
      <c r="A43" s="5" t="s">
        <v>31</v>
      </c>
      <c r="B43" s="6" t="s">
        <v>13</v>
      </c>
      <c r="C43" s="7">
        <v>836065.09</v>
      </c>
      <c r="D43" s="5" t="s">
        <v>7</v>
      </c>
      <c r="E43" s="6" t="s">
        <v>42</v>
      </c>
    </row>
    <row r="44" spans="1:5" x14ac:dyDescent="0.25">
      <c r="A44" s="5" t="s">
        <v>31</v>
      </c>
      <c r="B44" s="6" t="s">
        <v>13</v>
      </c>
      <c r="C44" s="7">
        <v>9782608.6099999994</v>
      </c>
      <c r="D44" s="5" t="s">
        <v>7</v>
      </c>
      <c r="E44" s="6" t="s">
        <v>42</v>
      </c>
    </row>
    <row r="45" spans="1:5" x14ac:dyDescent="0.25">
      <c r="A45" s="5" t="s">
        <v>31</v>
      </c>
      <c r="B45" s="6" t="s">
        <v>13</v>
      </c>
      <c r="C45" s="7">
        <v>4231.08</v>
      </c>
      <c r="D45" s="5" t="s">
        <v>7</v>
      </c>
      <c r="E45" s="6" t="s">
        <v>42</v>
      </c>
    </row>
    <row r="46" spans="1:5" x14ac:dyDescent="0.25">
      <c r="A46" s="12" t="s">
        <v>31</v>
      </c>
      <c r="B46" s="11" t="s">
        <v>14</v>
      </c>
      <c r="C46" s="13">
        <v>12466.96</v>
      </c>
      <c r="D46" s="12" t="s">
        <v>7</v>
      </c>
      <c r="E46" s="11" t="s">
        <v>43</v>
      </c>
    </row>
    <row r="47" spans="1:5" x14ac:dyDescent="0.25">
      <c r="A47" s="5" t="s">
        <v>31</v>
      </c>
      <c r="B47" s="6" t="s">
        <v>14</v>
      </c>
      <c r="C47" s="7">
        <v>7232.7</v>
      </c>
      <c r="D47" s="5" t="s">
        <v>7</v>
      </c>
      <c r="E47" s="6" t="s">
        <v>42</v>
      </c>
    </row>
    <row r="48" spans="1:5" hidden="1" x14ac:dyDescent="0.25">
      <c r="A48" s="12" t="s">
        <v>31</v>
      </c>
      <c r="B48" s="11" t="s">
        <v>15</v>
      </c>
      <c r="C48" s="13">
        <v>12466.96</v>
      </c>
      <c r="D48" s="12" t="s">
        <v>16</v>
      </c>
      <c r="E48" s="11" t="s">
        <v>43</v>
      </c>
    </row>
    <row r="49" spans="1:5" hidden="1" x14ac:dyDescent="0.25">
      <c r="A49" s="15" t="s">
        <v>31</v>
      </c>
      <c r="B49" s="16" t="s">
        <v>17</v>
      </c>
      <c r="C49" s="17">
        <v>10990373.539999999</v>
      </c>
      <c r="D49" s="15" t="s">
        <v>16</v>
      </c>
      <c r="E49" s="16" t="s">
        <v>44</v>
      </c>
    </row>
    <row r="50" spans="1:5" x14ac:dyDescent="0.25">
      <c r="A50" s="5" t="s">
        <v>32</v>
      </c>
      <c r="B50" s="6" t="s">
        <v>30</v>
      </c>
      <c r="C50" s="7">
        <v>10763.29</v>
      </c>
      <c r="D50" s="5" t="s">
        <v>7</v>
      </c>
      <c r="E50" s="6" t="s">
        <v>42</v>
      </c>
    </row>
    <row r="51" spans="1:5" x14ac:dyDescent="0.25">
      <c r="A51" s="5" t="s">
        <v>32</v>
      </c>
      <c r="B51" s="6" t="s">
        <v>12</v>
      </c>
      <c r="C51" s="7">
        <v>11186093.74</v>
      </c>
      <c r="D51" s="5" t="s">
        <v>7</v>
      </c>
      <c r="E51" s="6" t="s">
        <v>42</v>
      </c>
    </row>
    <row r="52" spans="1:5" hidden="1" x14ac:dyDescent="0.25">
      <c r="A52" s="15" t="s">
        <v>32</v>
      </c>
      <c r="B52" s="16" t="s">
        <v>17</v>
      </c>
      <c r="C52" s="17">
        <v>11196857.029999999</v>
      </c>
      <c r="D52" s="15" t="s">
        <v>16</v>
      </c>
      <c r="E52" s="16" t="s">
        <v>44</v>
      </c>
    </row>
    <row r="53" spans="1:5" x14ac:dyDescent="0.25">
      <c r="A53" s="5" t="s">
        <v>33</v>
      </c>
      <c r="B53" s="6" t="s">
        <v>30</v>
      </c>
      <c r="C53" s="7">
        <v>2715.44</v>
      </c>
      <c r="D53" s="5" t="s">
        <v>7</v>
      </c>
      <c r="E53" s="6" t="s">
        <v>42</v>
      </c>
    </row>
    <row r="54" spans="1:5" x14ac:dyDescent="0.25">
      <c r="A54" s="5" t="s">
        <v>33</v>
      </c>
      <c r="B54" s="6" t="s">
        <v>12</v>
      </c>
      <c r="C54" s="7">
        <v>276048.44</v>
      </c>
      <c r="D54" s="5" t="s">
        <v>7</v>
      </c>
      <c r="E54" s="6" t="s">
        <v>42</v>
      </c>
    </row>
    <row r="55" spans="1:5" hidden="1" x14ac:dyDescent="0.25">
      <c r="A55" s="15" t="s">
        <v>33</v>
      </c>
      <c r="B55" s="16" t="s">
        <v>17</v>
      </c>
      <c r="C55" s="17">
        <v>278763.88</v>
      </c>
      <c r="D55" s="15" t="s">
        <v>16</v>
      </c>
      <c r="E55" s="16" t="s">
        <v>44</v>
      </c>
    </row>
    <row r="56" spans="1:5" hidden="1" x14ac:dyDescent="0.25">
      <c r="A56" s="18" t="s">
        <v>34</v>
      </c>
      <c r="B56" s="19" t="s">
        <v>24</v>
      </c>
      <c r="C56" s="20">
        <v>126.89</v>
      </c>
      <c r="D56" s="18" t="s">
        <v>16</v>
      </c>
      <c r="E56" s="19" t="s">
        <v>45</v>
      </c>
    </row>
    <row r="57" spans="1:5" hidden="1" x14ac:dyDescent="0.25">
      <c r="A57" s="18" t="s">
        <v>34</v>
      </c>
      <c r="B57" s="19" t="s">
        <v>24</v>
      </c>
      <c r="C57" s="20">
        <v>202.77</v>
      </c>
      <c r="D57" s="18" t="s">
        <v>16</v>
      </c>
      <c r="E57" s="19" t="s">
        <v>45</v>
      </c>
    </row>
    <row r="58" spans="1:5" hidden="1" x14ac:dyDescent="0.25">
      <c r="A58" s="18" t="s">
        <v>34</v>
      </c>
      <c r="B58" s="19" t="s">
        <v>24</v>
      </c>
      <c r="C58" s="20">
        <v>199.77</v>
      </c>
      <c r="D58" s="18" t="s">
        <v>16</v>
      </c>
      <c r="E58" s="19" t="s">
        <v>45</v>
      </c>
    </row>
    <row r="59" spans="1:5" x14ac:dyDescent="0.25">
      <c r="A59" s="15" t="s">
        <v>34</v>
      </c>
      <c r="B59" s="16" t="s">
        <v>20</v>
      </c>
      <c r="C59" s="17">
        <v>529.42999999999995</v>
      </c>
      <c r="D59" s="15" t="s">
        <v>7</v>
      </c>
      <c r="E59" s="16" t="s">
        <v>20</v>
      </c>
    </row>
    <row r="60" spans="1:5" hidden="1" x14ac:dyDescent="0.25">
      <c r="A60" s="18" t="s">
        <v>35</v>
      </c>
      <c r="B60" s="19" t="s">
        <v>24</v>
      </c>
      <c r="C60" s="20">
        <v>234.94</v>
      </c>
      <c r="D60" s="18" t="s">
        <v>16</v>
      </c>
      <c r="E60" s="19" t="s">
        <v>45</v>
      </c>
    </row>
    <row r="61" spans="1:5" hidden="1" x14ac:dyDescent="0.25">
      <c r="A61" s="18" t="s">
        <v>35</v>
      </c>
      <c r="B61" s="19" t="s">
        <v>24</v>
      </c>
      <c r="C61" s="20">
        <v>7.59</v>
      </c>
      <c r="D61" s="18" t="s">
        <v>16</v>
      </c>
      <c r="E61" s="19" t="s">
        <v>45</v>
      </c>
    </row>
    <row r="62" spans="1:5" x14ac:dyDescent="0.25">
      <c r="A62" s="15" t="s">
        <v>35</v>
      </c>
      <c r="B62" s="16" t="s">
        <v>20</v>
      </c>
      <c r="C62" s="17">
        <v>242.53</v>
      </c>
      <c r="D62" s="15" t="s">
        <v>7</v>
      </c>
      <c r="E62" s="16" t="s">
        <v>20</v>
      </c>
    </row>
    <row r="63" spans="1:5" hidden="1" x14ac:dyDescent="0.25">
      <c r="A63" s="8" t="s">
        <v>36</v>
      </c>
      <c r="B63" s="9" t="s">
        <v>22</v>
      </c>
      <c r="C63" s="10">
        <v>1296.9000000000001</v>
      </c>
      <c r="D63" s="8" t="s">
        <v>16</v>
      </c>
      <c r="E63" s="9" t="s">
        <v>242</v>
      </c>
    </row>
    <row r="64" spans="1:5" hidden="1" x14ac:dyDescent="0.25">
      <c r="A64" s="8" t="s">
        <v>36</v>
      </c>
      <c r="B64" s="9" t="s">
        <v>22</v>
      </c>
      <c r="C64" s="10">
        <v>32547595.460000001</v>
      </c>
      <c r="D64" s="8" t="s">
        <v>16</v>
      </c>
      <c r="E64" s="9" t="s">
        <v>242</v>
      </c>
    </row>
    <row r="65" spans="1:5" hidden="1" x14ac:dyDescent="0.25">
      <c r="A65" s="8" t="s">
        <v>36</v>
      </c>
      <c r="B65" s="9" t="s">
        <v>22</v>
      </c>
      <c r="C65" s="10">
        <v>549603.56999999995</v>
      </c>
      <c r="D65" s="8" t="s">
        <v>16</v>
      </c>
      <c r="E65" s="9" t="s">
        <v>242</v>
      </c>
    </row>
    <row r="66" spans="1:5" hidden="1" x14ac:dyDescent="0.25">
      <c r="A66" s="8" t="s">
        <v>36</v>
      </c>
      <c r="B66" s="9" t="s">
        <v>22</v>
      </c>
      <c r="C66" s="10">
        <v>305256.53999999998</v>
      </c>
      <c r="D66" s="8" t="s">
        <v>16</v>
      </c>
      <c r="E66" s="9" t="s">
        <v>242</v>
      </c>
    </row>
    <row r="67" spans="1:5" hidden="1" x14ac:dyDescent="0.25">
      <c r="A67" s="8" t="s">
        <v>36</v>
      </c>
      <c r="B67" s="9" t="s">
        <v>22</v>
      </c>
      <c r="C67" s="10">
        <v>694.48</v>
      </c>
      <c r="D67" s="8" t="s">
        <v>16</v>
      </c>
      <c r="E67" s="9" t="s">
        <v>242</v>
      </c>
    </row>
    <row r="68" spans="1:5" hidden="1" x14ac:dyDescent="0.25">
      <c r="A68" s="8" t="s">
        <v>36</v>
      </c>
      <c r="B68" s="9" t="s">
        <v>22</v>
      </c>
      <c r="C68" s="10">
        <v>14605.34</v>
      </c>
      <c r="D68" s="8" t="s">
        <v>16</v>
      </c>
      <c r="E68" s="9" t="s">
        <v>242</v>
      </c>
    </row>
    <row r="69" spans="1:5" hidden="1" x14ac:dyDescent="0.25">
      <c r="A69" s="8" t="s">
        <v>36</v>
      </c>
      <c r="B69" s="9" t="s">
        <v>22</v>
      </c>
      <c r="C69" s="10">
        <v>551317.63</v>
      </c>
      <c r="D69" s="8" t="s">
        <v>16</v>
      </c>
      <c r="E69" s="9" t="s">
        <v>242</v>
      </c>
    </row>
    <row r="70" spans="1:5" hidden="1" x14ac:dyDescent="0.25">
      <c r="A70" s="8" t="s">
        <v>36</v>
      </c>
      <c r="B70" s="9" t="s">
        <v>37</v>
      </c>
      <c r="C70" s="10">
        <v>16773.62</v>
      </c>
      <c r="D70" s="8" t="s">
        <v>16</v>
      </c>
      <c r="E70" s="9" t="s">
        <v>242</v>
      </c>
    </row>
    <row r="71" spans="1:5" hidden="1" x14ac:dyDescent="0.25">
      <c r="A71" s="8" t="s">
        <v>36</v>
      </c>
      <c r="B71" s="9" t="s">
        <v>19</v>
      </c>
      <c r="C71" s="10">
        <v>4199.28</v>
      </c>
      <c r="D71" s="8" t="s">
        <v>16</v>
      </c>
      <c r="E71" s="9" t="s">
        <v>242</v>
      </c>
    </row>
    <row r="72" spans="1:5" hidden="1" x14ac:dyDescent="0.25">
      <c r="A72" s="8" t="s">
        <v>36</v>
      </c>
      <c r="B72" s="9" t="s">
        <v>19</v>
      </c>
      <c r="C72" s="10">
        <v>89872.11</v>
      </c>
      <c r="D72" s="8" t="s">
        <v>16</v>
      </c>
      <c r="E72" s="9" t="s">
        <v>242</v>
      </c>
    </row>
    <row r="73" spans="1:5" hidden="1" x14ac:dyDescent="0.25">
      <c r="A73" s="8" t="s">
        <v>36</v>
      </c>
      <c r="B73" s="9" t="s">
        <v>19</v>
      </c>
      <c r="C73" s="10">
        <v>110915.86</v>
      </c>
      <c r="D73" s="8" t="s">
        <v>16</v>
      </c>
      <c r="E73" s="9" t="s">
        <v>242</v>
      </c>
    </row>
    <row r="74" spans="1:5" hidden="1" x14ac:dyDescent="0.25">
      <c r="A74" s="8" t="s">
        <v>36</v>
      </c>
      <c r="B74" s="9" t="s">
        <v>19</v>
      </c>
      <c r="C74" s="10">
        <v>72559.87</v>
      </c>
      <c r="D74" s="8" t="s">
        <v>16</v>
      </c>
      <c r="E74" s="9" t="s">
        <v>242</v>
      </c>
    </row>
    <row r="75" spans="1:5" hidden="1" x14ac:dyDescent="0.25">
      <c r="A75" s="8" t="s">
        <v>36</v>
      </c>
      <c r="B75" s="9" t="s">
        <v>19</v>
      </c>
      <c r="C75" s="10">
        <v>46676.83</v>
      </c>
      <c r="D75" s="8" t="s">
        <v>16</v>
      </c>
      <c r="E75" s="9" t="s">
        <v>242</v>
      </c>
    </row>
    <row r="76" spans="1:5" x14ac:dyDescent="0.25">
      <c r="A76" s="15" t="s">
        <v>36</v>
      </c>
      <c r="B76" s="16" t="s">
        <v>20</v>
      </c>
      <c r="C76" s="17">
        <v>34311367.490000002</v>
      </c>
      <c r="D76" s="15" t="s">
        <v>7</v>
      </c>
      <c r="E76" s="16" t="s">
        <v>20</v>
      </c>
    </row>
    <row r="77" spans="1:5" x14ac:dyDescent="0.25">
      <c r="A77" s="5" t="s">
        <v>38</v>
      </c>
      <c r="B77" s="6" t="s">
        <v>11</v>
      </c>
      <c r="C77" s="7">
        <v>57.85</v>
      </c>
      <c r="D77" s="5" t="s">
        <v>7</v>
      </c>
      <c r="E77" s="6" t="s">
        <v>42</v>
      </c>
    </row>
    <row r="78" spans="1:5" x14ac:dyDescent="0.25">
      <c r="A78" s="5" t="s">
        <v>38</v>
      </c>
      <c r="B78" s="6" t="s">
        <v>13</v>
      </c>
      <c r="C78" s="7">
        <v>1121781.47</v>
      </c>
      <c r="D78" s="5" t="s">
        <v>7</v>
      </c>
      <c r="E78" s="6" t="s">
        <v>42</v>
      </c>
    </row>
    <row r="79" spans="1:5" x14ac:dyDescent="0.25">
      <c r="A79" s="5" t="s">
        <v>38</v>
      </c>
      <c r="B79" s="6" t="s">
        <v>13</v>
      </c>
      <c r="C79" s="7">
        <v>2607811.79</v>
      </c>
      <c r="D79" s="5" t="s">
        <v>7</v>
      </c>
      <c r="E79" s="6" t="s">
        <v>42</v>
      </c>
    </row>
    <row r="80" spans="1:5" x14ac:dyDescent="0.25">
      <c r="A80" s="5" t="s">
        <v>38</v>
      </c>
      <c r="B80" s="6" t="s">
        <v>13</v>
      </c>
      <c r="C80" s="7">
        <v>29516459.760000002</v>
      </c>
      <c r="D80" s="5" t="s">
        <v>7</v>
      </c>
      <c r="E80" s="6" t="s">
        <v>42</v>
      </c>
    </row>
    <row r="81" spans="1:5" x14ac:dyDescent="0.25">
      <c r="A81" s="5" t="s">
        <v>38</v>
      </c>
      <c r="B81" s="6" t="s">
        <v>13</v>
      </c>
      <c r="C81" s="7">
        <v>13197.39</v>
      </c>
      <c r="D81" s="5" t="s">
        <v>7</v>
      </c>
      <c r="E81" s="6" t="s">
        <v>42</v>
      </c>
    </row>
    <row r="82" spans="1:5" x14ac:dyDescent="0.25">
      <c r="A82" s="12" t="s">
        <v>38</v>
      </c>
      <c r="B82" s="11" t="s">
        <v>14</v>
      </c>
      <c r="C82" s="13">
        <v>3959.17</v>
      </c>
      <c r="D82" s="12" t="s">
        <v>7</v>
      </c>
      <c r="E82" s="11" t="s">
        <v>43</v>
      </c>
    </row>
    <row r="83" spans="1:5" x14ac:dyDescent="0.25">
      <c r="A83" s="5" t="s">
        <v>38</v>
      </c>
      <c r="B83" s="6" t="s">
        <v>14</v>
      </c>
      <c r="C83" s="7">
        <v>2296.9</v>
      </c>
      <c r="D83" s="5" t="s">
        <v>7</v>
      </c>
      <c r="E83" s="6" t="s">
        <v>42</v>
      </c>
    </row>
    <row r="84" spans="1:5" hidden="1" x14ac:dyDescent="0.25">
      <c r="A84" s="12" t="s">
        <v>38</v>
      </c>
      <c r="B84" s="11" t="s">
        <v>15</v>
      </c>
      <c r="C84" s="13">
        <v>3959.17</v>
      </c>
      <c r="D84" s="12" t="s">
        <v>16</v>
      </c>
      <c r="E84" s="11" t="s">
        <v>43</v>
      </c>
    </row>
    <row r="85" spans="1:5" hidden="1" x14ac:dyDescent="0.25">
      <c r="A85" s="15" t="s">
        <v>38</v>
      </c>
      <c r="B85" s="16" t="s">
        <v>17</v>
      </c>
      <c r="C85" s="17">
        <v>33261605.16</v>
      </c>
      <c r="D85" s="15" t="s">
        <v>16</v>
      </c>
      <c r="E85" s="16" t="s">
        <v>44</v>
      </c>
    </row>
    <row r="86" spans="1:5" x14ac:dyDescent="0.25">
      <c r="A86" s="5" t="s">
        <v>39</v>
      </c>
      <c r="B86" s="6" t="s">
        <v>30</v>
      </c>
      <c r="C86" s="7">
        <v>3264.38</v>
      </c>
      <c r="D86" s="5" t="s">
        <v>7</v>
      </c>
      <c r="E86" s="6" t="s">
        <v>42</v>
      </c>
    </row>
    <row r="87" spans="1:5" x14ac:dyDescent="0.25">
      <c r="A87" s="5" t="s">
        <v>39</v>
      </c>
      <c r="B87" s="6" t="s">
        <v>12</v>
      </c>
      <c r="C87" s="7">
        <v>4150068.76</v>
      </c>
      <c r="D87" s="5" t="s">
        <v>7</v>
      </c>
      <c r="E87" s="6" t="s">
        <v>42</v>
      </c>
    </row>
    <row r="88" spans="1:5" x14ac:dyDescent="0.25">
      <c r="A88" s="5" t="s">
        <v>39</v>
      </c>
      <c r="B88" s="6" t="s">
        <v>40</v>
      </c>
      <c r="C88" s="7">
        <v>1477881.77</v>
      </c>
      <c r="D88" s="5" t="s">
        <v>7</v>
      </c>
      <c r="E88" s="6" t="s">
        <v>42</v>
      </c>
    </row>
    <row r="89" spans="1:5" hidden="1" x14ac:dyDescent="0.25">
      <c r="A89" s="5" t="s">
        <v>39</v>
      </c>
      <c r="B89" s="6" t="s">
        <v>41</v>
      </c>
      <c r="C89" s="7">
        <v>164645.69</v>
      </c>
      <c r="D89" s="5" t="s">
        <v>16</v>
      </c>
      <c r="E89" s="6" t="s">
        <v>42</v>
      </c>
    </row>
    <row r="90" spans="1:5" hidden="1" x14ac:dyDescent="0.25">
      <c r="A90" s="18" t="s">
        <v>39</v>
      </c>
      <c r="B90" s="19" t="s">
        <v>24</v>
      </c>
      <c r="C90" s="20">
        <v>3406.85</v>
      </c>
      <c r="D90" s="18" t="s">
        <v>16</v>
      </c>
      <c r="E90" s="19" t="s">
        <v>45</v>
      </c>
    </row>
    <row r="91" spans="1:5" hidden="1" x14ac:dyDescent="0.25">
      <c r="A91" s="18" t="s">
        <v>39</v>
      </c>
      <c r="B91" s="19" t="s">
        <v>24</v>
      </c>
      <c r="C91" s="20">
        <v>862.38</v>
      </c>
      <c r="D91" s="18" t="s">
        <v>16</v>
      </c>
      <c r="E91" s="19" t="s">
        <v>45</v>
      </c>
    </row>
    <row r="92" spans="1:5" hidden="1" x14ac:dyDescent="0.25">
      <c r="A92" s="18" t="s">
        <v>39</v>
      </c>
      <c r="B92" s="19" t="s">
        <v>24</v>
      </c>
      <c r="C92" s="20">
        <v>225.87</v>
      </c>
      <c r="D92" s="18" t="s">
        <v>16</v>
      </c>
      <c r="E92" s="19" t="s">
        <v>45</v>
      </c>
    </row>
    <row r="93" spans="1:5" hidden="1" x14ac:dyDescent="0.25">
      <c r="A93" s="15" t="s">
        <v>39</v>
      </c>
      <c r="B93" s="16" t="s">
        <v>17</v>
      </c>
      <c r="C93" s="17">
        <v>5462074.1200000001</v>
      </c>
      <c r="D93" s="15" t="s">
        <v>16</v>
      </c>
      <c r="E93" s="16" t="s">
        <v>44</v>
      </c>
    </row>
  </sheetData>
  <autoFilter ref="A3:E93" xr:uid="{00000000-0001-0000-0000-000000000000}">
    <filterColumn colId="3">
      <filters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26ED-E069-4C4C-88B3-404F4729CC85}">
  <sheetPr filterMode="1"/>
  <dimension ref="A1:J75"/>
  <sheetViews>
    <sheetView workbookViewId="0">
      <selection activeCell="E58" sqref="E58"/>
    </sheetView>
  </sheetViews>
  <sheetFormatPr defaultRowHeight="15" x14ac:dyDescent="0.25"/>
  <cols>
    <col min="1" max="1" width="12.85546875" style="2" customWidth="1"/>
    <col min="2" max="2" width="26.85546875" bestFit="1" customWidth="1"/>
    <col min="3" max="3" width="15.28515625" customWidth="1"/>
    <col min="4" max="4" width="4.5703125" style="2" customWidth="1"/>
    <col min="5" max="5" width="37.42578125" customWidth="1"/>
    <col min="6" max="6" width="25" style="21" customWidth="1"/>
    <col min="10" max="10" width="14.28515625" bestFit="1" customWidth="1"/>
  </cols>
  <sheetData>
    <row r="1" spans="1:6" x14ac:dyDescent="0.25">
      <c r="A1" s="2" t="s">
        <v>0</v>
      </c>
    </row>
    <row r="2" spans="1:6" x14ac:dyDescent="0.25">
      <c r="A2" s="2" t="s">
        <v>1</v>
      </c>
      <c r="C2" s="1">
        <f>SUBTOTAL(9,C4:C80)</f>
        <v>185737166.44000003</v>
      </c>
      <c r="E2" s="14"/>
    </row>
    <row r="3" spans="1:6" x14ac:dyDescent="0.25">
      <c r="A3" s="22" t="s">
        <v>2</v>
      </c>
      <c r="B3" s="23" t="s">
        <v>3</v>
      </c>
      <c r="C3" s="23" t="s">
        <v>4</v>
      </c>
      <c r="D3" s="22" t="s">
        <v>5</v>
      </c>
      <c r="E3" s="23" t="s">
        <v>6</v>
      </c>
      <c r="F3" s="22" t="s">
        <v>122</v>
      </c>
    </row>
    <row r="4" spans="1:6" hidden="1" x14ac:dyDescent="0.25">
      <c r="A4" s="18" t="s">
        <v>46</v>
      </c>
      <c r="B4" s="19" t="s">
        <v>24</v>
      </c>
      <c r="C4" s="20">
        <v>1771</v>
      </c>
      <c r="D4" s="18" t="s">
        <v>16</v>
      </c>
      <c r="E4" s="19" t="s">
        <v>45</v>
      </c>
    </row>
    <row r="5" spans="1:6" x14ac:dyDescent="0.25">
      <c r="A5" s="15" t="s">
        <v>46</v>
      </c>
      <c r="B5" s="16" t="s">
        <v>20</v>
      </c>
      <c r="C5" s="17">
        <v>1771</v>
      </c>
      <c r="D5" s="15" t="s">
        <v>7</v>
      </c>
      <c r="E5" s="16" t="s">
        <v>20</v>
      </c>
    </row>
    <row r="6" spans="1:6" x14ac:dyDescent="0.25">
      <c r="A6" s="5" t="s">
        <v>47</v>
      </c>
      <c r="B6" s="6" t="s">
        <v>30</v>
      </c>
      <c r="C6" s="7">
        <v>52425.39</v>
      </c>
      <c r="D6" s="5" t="s">
        <v>7</v>
      </c>
      <c r="E6" s="6" t="s">
        <v>42</v>
      </c>
    </row>
    <row r="7" spans="1:6" x14ac:dyDescent="0.25">
      <c r="A7" s="5" t="s">
        <v>47</v>
      </c>
      <c r="B7" s="6" t="s">
        <v>12</v>
      </c>
      <c r="C7" s="7">
        <v>783899.29</v>
      </c>
      <c r="D7" s="5" t="s">
        <v>7</v>
      </c>
      <c r="E7" s="6" t="s">
        <v>42</v>
      </c>
    </row>
    <row r="8" spans="1:6" x14ac:dyDescent="0.25">
      <c r="A8" s="5" t="s">
        <v>47</v>
      </c>
      <c r="B8" s="6" t="s">
        <v>11</v>
      </c>
      <c r="C8" s="7">
        <v>1070.01</v>
      </c>
      <c r="D8" s="5" t="s">
        <v>7</v>
      </c>
      <c r="E8" s="6" t="s">
        <v>42</v>
      </c>
    </row>
    <row r="9" spans="1:6" x14ac:dyDescent="0.25">
      <c r="A9" s="5" t="s">
        <v>47</v>
      </c>
      <c r="B9" s="6" t="s">
        <v>13</v>
      </c>
      <c r="C9" s="7">
        <v>2254096.46</v>
      </c>
      <c r="D9" s="5" t="s">
        <v>7</v>
      </c>
      <c r="E9" s="6" t="s">
        <v>42</v>
      </c>
    </row>
    <row r="10" spans="1:6" x14ac:dyDescent="0.25">
      <c r="A10" s="5" t="s">
        <v>47</v>
      </c>
      <c r="B10" s="6" t="s">
        <v>13</v>
      </c>
      <c r="C10" s="7">
        <v>5240110.91</v>
      </c>
      <c r="D10" s="5" t="s">
        <v>7</v>
      </c>
      <c r="E10" s="6" t="s">
        <v>42</v>
      </c>
    </row>
    <row r="11" spans="1:6" x14ac:dyDescent="0.25">
      <c r="A11" s="5" t="s">
        <v>47</v>
      </c>
      <c r="B11" s="6" t="s">
        <v>13</v>
      </c>
      <c r="C11" s="7">
        <v>59156697.630000003</v>
      </c>
      <c r="D11" s="5" t="s">
        <v>7</v>
      </c>
      <c r="E11" s="6" t="s">
        <v>42</v>
      </c>
    </row>
    <row r="12" spans="1:6" x14ac:dyDescent="0.25">
      <c r="A12" s="5" t="s">
        <v>47</v>
      </c>
      <c r="B12" s="6" t="s">
        <v>13</v>
      </c>
      <c r="C12" s="7">
        <v>26518.78</v>
      </c>
      <c r="D12" s="5" t="s">
        <v>7</v>
      </c>
      <c r="E12" s="6" t="s">
        <v>42</v>
      </c>
    </row>
    <row r="13" spans="1:6" x14ac:dyDescent="0.25">
      <c r="A13" s="12" t="s">
        <v>47</v>
      </c>
      <c r="B13" s="11" t="s">
        <v>14</v>
      </c>
      <c r="C13" s="13">
        <v>24106.25</v>
      </c>
      <c r="D13" s="12" t="s">
        <v>7</v>
      </c>
      <c r="E13" s="11" t="s">
        <v>43</v>
      </c>
    </row>
    <row r="14" spans="1:6" x14ac:dyDescent="0.25">
      <c r="A14" s="5" t="s">
        <v>47</v>
      </c>
      <c r="B14" s="6" t="s">
        <v>14</v>
      </c>
      <c r="C14" s="7">
        <v>13985.23</v>
      </c>
      <c r="D14" s="5" t="s">
        <v>7</v>
      </c>
      <c r="E14" s="6" t="s">
        <v>42</v>
      </c>
    </row>
    <row r="15" spans="1:6" hidden="1" x14ac:dyDescent="0.25">
      <c r="A15" s="12" t="s">
        <v>47</v>
      </c>
      <c r="B15" s="11" t="s">
        <v>15</v>
      </c>
      <c r="C15" s="13">
        <v>24106.25</v>
      </c>
      <c r="D15" s="12" t="s">
        <v>16</v>
      </c>
      <c r="E15" s="11" t="s">
        <v>43</v>
      </c>
    </row>
    <row r="16" spans="1:6" hidden="1" x14ac:dyDescent="0.25">
      <c r="A16" s="15" t="s">
        <v>47</v>
      </c>
      <c r="B16" s="16" t="s">
        <v>17</v>
      </c>
      <c r="C16" s="17">
        <v>67528803.700000003</v>
      </c>
      <c r="D16" s="15" t="s">
        <v>16</v>
      </c>
      <c r="E16" s="16" t="s">
        <v>44</v>
      </c>
    </row>
    <row r="17" spans="1:6" x14ac:dyDescent="0.25">
      <c r="A17" s="24" t="s">
        <v>48</v>
      </c>
      <c r="B17" s="25" t="s">
        <v>49</v>
      </c>
      <c r="C17" s="26">
        <v>111.18</v>
      </c>
      <c r="D17" s="24" t="s">
        <v>7</v>
      </c>
      <c r="E17" s="25" t="s">
        <v>49</v>
      </c>
    </row>
    <row r="18" spans="1:6" hidden="1" x14ac:dyDescent="0.25">
      <c r="A18" s="8" t="s">
        <v>48</v>
      </c>
      <c r="B18" s="9" t="s">
        <v>50</v>
      </c>
      <c r="C18" s="10">
        <v>13499281.82</v>
      </c>
      <c r="D18" s="8" t="s">
        <v>16</v>
      </c>
      <c r="E18" s="85" t="s">
        <v>66</v>
      </c>
      <c r="F18" s="65" t="s">
        <v>95</v>
      </c>
    </row>
    <row r="19" spans="1:6" hidden="1" x14ac:dyDescent="0.25">
      <c r="A19" s="8" t="s">
        <v>48</v>
      </c>
      <c r="B19" s="9" t="s">
        <v>50</v>
      </c>
      <c r="C19" s="10">
        <v>3493619.98</v>
      </c>
      <c r="D19" s="8" t="s">
        <v>16</v>
      </c>
      <c r="E19" s="85" t="s">
        <v>66</v>
      </c>
      <c r="F19" s="65" t="s">
        <v>127</v>
      </c>
    </row>
    <row r="20" spans="1:6" hidden="1" x14ac:dyDescent="0.25">
      <c r="A20" s="18" t="s">
        <v>48</v>
      </c>
      <c r="B20" s="19" t="s">
        <v>24</v>
      </c>
      <c r="C20" s="20">
        <v>17.2</v>
      </c>
      <c r="D20" s="18" t="s">
        <v>16</v>
      </c>
      <c r="E20" s="19" t="s">
        <v>45</v>
      </c>
    </row>
    <row r="21" spans="1:6" hidden="1" x14ac:dyDescent="0.25">
      <c r="A21" s="18" t="s">
        <v>48</v>
      </c>
      <c r="B21" s="19" t="s">
        <v>24</v>
      </c>
      <c r="C21" s="20">
        <v>20.239999999999998</v>
      </c>
      <c r="D21" s="18" t="s">
        <v>16</v>
      </c>
      <c r="E21" s="19" t="s">
        <v>45</v>
      </c>
    </row>
    <row r="22" spans="1:6" x14ac:dyDescent="0.25">
      <c r="A22" s="15" t="s">
        <v>48</v>
      </c>
      <c r="B22" s="16" t="s">
        <v>20</v>
      </c>
      <c r="C22" s="17">
        <v>16992828.059999999</v>
      </c>
      <c r="D22" s="15" t="s">
        <v>7</v>
      </c>
      <c r="E22" s="16" t="s">
        <v>20</v>
      </c>
    </row>
    <row r="23" spans="1:6" hidden="1" x14ac:dyDescent="0.25">
      <c r="A23" s="2" t="s">
        <v>51</v>
      </c>
      <c r="B23" t="s">
        <v>37</v>
      </c>
      <c r="C23" s="89">
        <v>10029.56</v>
      </c>
      <c r="D23" s="2" t="s">
        <v>16</v>
      </c>
      <c r="E23" t="s">
        <v>37</v>
      </c>
    </row>
    <row r="24" spans="1:6" hidden="1" x14ac:dyDescent="0.25">
      <c r="A24" s="8" t="s">
        <v>51</v>
      </c>
      <c r="B24" s="9" t="s">
        <v>50</v>
      </c>
      <c r="C24" s="10">
        <v>18292924.670000002</v>
      </c>
      <c r="D24" s="8" t="s">
        <v>16</v>
      </c>
      <c r="E24" s="85" t="s">
        <v>66</v>
      </c>
      <c r="F24" s="65" t="s">
        <v>136</v>
      </c>
    </row>
    <row r="25" spans="1:6" x14ac:dyDescent="0.25">
      <c r="A25" s="15" t="s">
        <v>51</v>
      </c>
      <c r="B25" s="16" t="s">
        <v>20</v>
      </c>
      <c r="C25" s="17">
        <v>18302954.23</v>
      </c>
      <c r="D25" s="15" t="s">
        <v>7</v>
      </c>
      <c r="E25" s="16" t="s">
        <v>20</v>
      </c>
    </row>
    <row r="26" spans="1:6" x14ac:dyDescent="0.25">
      <c r="A26" s="5" t="s">
        <v>52</v>
      </c>
      <c r="B26" s="6" t="s">
        <v>30</v>
      </c>
      <c r="C26" s="7">
        <v>52425.39</v>
      </c>
      <c r="D26" s="5" t="s">
        <v>7</v>
      </c>
      <c r="E26" s="6" t="s">
        <v>42</v>
      </c>
    </row>
    <row r="27" spans="1:6" x14ac:dyDescent="0.25">
      <c r="A27" s="5" t="s">
        <v>52</v>
      </c>
      <c r="B27" s="6" t="s">
        <v>12</v>
      </c>
      <c r="C27" s="7">
        <v>783899.29</v>
      </c>
      <c r="D27" s="5" t="s">
        <v>7</v>
      </c>
      <c r="E27" s="6" t="s">
        <v>42</v>
      </c>
    </row>
    <row r="28" spans="1:6" hidden="1" x14ac:dyDescent="0.25">
      <c r="A28" s="8" t="s">
        <v>52</v>
      </c>
      <c r="B28" s="9" t="s">
        <v>50</v>
      </c>
      <c r="C28" s="10">
        <v>5528457.5599999996</v>
      </c>
      <c r="D28" s="8" t="s">
        <v>16</v>
      </c>
      <c r="E28" s="85" t="s">
        <v>66</v>
      </c>
      <c r="F28" s="65" t="s">
        <v>137</v>
      </c>
    </row>
    <row r="29" spans="1:6" hidden="1" x14ac:dyDescent="0.25">
      <c r="A29" s="18" t="s">
        <v>52</v>
      </c>
      <c r="B29" s="19" t="s">
        <v>24</v>
      </c>
      <c r="C29" s="20">
        <v>5.09</v>
      </c>
      <c r="D29" s="18" t="s">
        <v>16</v>
      </c>
      <c r="E29" s="19" t="s">
        <v>45</v>
      </c>
    </row>
    <row r="30" spans="1:6" hidden="1" x14ac:dyDescent="0.25">
      <c r="A30" s="18" t="s">
        <v>52</v>
      </c>
      <c r="B30" s="19" t="s">
        <v>24</v>
      </c>
      <c r="C30" s="20">
        <v>10.02</v>
      </c>
      <c r="D30" s="18" t="s">
        <v>16</v>
      </c>
      <c r="E30" s="19" t="s">
        <v>45</v>
      </c>
    </row>
    <row r="31" spans="1:6" hidden="1" x14ac:dyDescent="0.25">
      <c r="A31" s="18" t="s">
        <v>52</v>
      </c>
      <c r="B31" s="19" t="s">
        <v>24</v>
      </c>
      <c r="C31" s="20">
        <v>6.73</v>
      </c>
      <c r="D31" s="18" t="s">
        <v>16</v>
      </c>
      <c r="E31" s="19" t="s">
        <v>45</v>
      </c>
    </row>
    <row r="32" spans="1:6" x14ac:dyDescent="0.25">
      <c r="A32" s="15" t="s">
        <v>52</v>
      </c>
      <c r="B32" s="16" t="s">
        <v>20</v>
      </c>
      <c r="C32" s="17">
        <v>4692154.72</v>
      </c>
      <c r="D32" s="15" t="s">
        <v>7</v>
      </c>
      <c r="E32" s="16" t="s">
        <v>20</v>
      </c>
    </row>
    <row r="33" spans="1:6" x14ac:dyDescent="0.25">
      <c r="A33" s="5" t="s">
        <v>53</v>
      </c>
      <c r="B33" s="6" t="s">
        <v>11</v>
      </c>
      <c r="C33" s="7">
        <v>73.239999999999995</v>
      </c>
      <c r="D33" s="5" t="s">
        <v>7</v>
      </c>
      <c r="E33" s="6" t="s">
        <v>42</v>
      </c>
    </row>
    <row r="34" spans="1:6" x14ac:dyDescent="0.25">
      <c r="A34" s="12" t="s">
        <v>53</v>
      </c>
      <c r="B34" s="11" t="s">
        <v>14</v>
      </c>
      <c r="C34" s="13">
        <v>10960.52</v>
      </c>
      <c r="D34" s="12" t="s">
        <v>7</v>
      </c>
      <c r="E34" s="11" t="s">
        <v>43</v>
      </c>
    </row>
    <row r="35" spans="1:6" x14ac:dyDescent="0.25">
      <c r="A35" s="5" t="s">
        <v>53</v>
      </c>
      <c r="B35" s="6" t="s">
        <v>14</v>
      </c>
      <c r="C35" s="7">
        <v>6358.75</v>
      </c>
      <c r="D35" s="5" t="s">
        <v>7</v>
      </c>
      <c r="E35" s="6" t="s">
        <v>42</v>
      </c>
    </row>
    <row r="36" spans="1:6" x14ac:dyDescent="0.25">
      <c r="A36" s="5" t="s">
        <v>53</v>
      </c>
      <c r="B36" s="6" t="s">
        <v>13</v>
      </c>
      <c r="C36" s="7">
        <v>225249.85</v>
      </c>
      <c r="D36" s="5" t="s">
        <v>7</v>
      </c>
      <c r="E36" s="6" t="s">
        <v>42</v>
      </c>
    </row>
    <row r="37" spans="1:6" x14ac:dyDescent="0.25">
      <c r="A37" s="5" t="s">
        <v>53</v>
      </c>
      <c r="B37" s="6" t="s">
        <v>13</v>
      </c>
      <c r="C37" s="7">
        <v>523639.75</v>
      </c>
      <c r="D37" s="5" t="s">
        <v>7</v>
      </c>
      <c r="E37" s="6" t="s">
        <v>42</v>
      </c>
    </row>
    <row r="38" spans="1:6" x14ac:dyDescent="0.25">
      <c r="A38" s="5" t="s">
        <v>53</v>
      </c>
      <c r="B38" s="6" t="s">
        <v>13</v>
      </c>
      <c r="C38" s="7">
        <v>5873079.79</v>
      </c>
      <c r="D38" s="5" t="s">
        <v>7</v>
      </c>
      <c r="E38" s="6" t="s">
        <v>42</v>
      </c>
    </row>
    <row r="39" spans="1:6" x14ac:dyDescent="0.25">
      <c r="A39" s="5" t="s">
        <v>53</v>
      </c>
      <c r="B39" s="6" t="s">
        <v>13</v>
      </c>
      <c r="C39" s="7">
        <v>2649.98</v>
      </c>
      <c r="D39" s="5" t="s">
        <v>7</v>
      </c>
      <c r="E39" s="6" t="s">
        <v>42</v>
      </c>
    </row>
    <row r="40" spans="1:6" hidden="1" x14ac:dyDescent="0.25">
      <c r="A40" s="12" t="s">
        <v>53</v>
      </c>
      <c r="B40" s="11" t="s">
        <v>15</v>
      </c>
      <c r="C40" s="13">
        <v>10960.52</v>
      </c>
      <c r="D40" s="12" t="s">
        <v>16</v>
      </c>
      <c r="E40" s="11" t="s">
        <v>43</v>
      </c>
    </row>
    <row r="41" spans="1:6" hidden="1" x14ac:dyDescent="0.25">
      <c r="A41" s="15" t="s">
        <v>53</v>
      </c>
      <c r="B41" s="16" t="s">
        <v>17</v>
      </c>
      <c r="C41" s="17">
        <v>6631051.3600000003</v>
      </c>
      <c r="D41" s="15" t="s">
        <v>16</v>
      </c>
      <c r="E41" s="16" t="s">
        <v>44</v>
      </c>
    </row>
    <row r="42" spans="1:6" hidden="1" x14ac:dyDescent="0.25">
      <c r="A42" s="8" t="s">
        <v>54</v>
      </c>
      <c r="B42" s="9" t="s">
        <v>50</v>
      </c>
      <c r="C42" s="10">
        <v>333.78</v>
      </c>
      <c r="D42" s="8" t="s">
        <v>16</v>
      </c>
      <c r="E42" s="85" t="s">
        <v>66</v>
      </c>
      <c r="F42" s="65" t="s">
        <v>142</v>
      </c>
    </row>
    <row r="43" spans="1:6" x14ac:dyDescent="0.25">
      <c r="A43" s="15" t="s">
        <v>54</v>
      </c>
      <c r="B43" s="16" t="s">
        <v>20</v>
      </c>
      <c r="C43" s="17">
        <v>333.78</v>
      </c>
      <c r="D43" s="15" t="s">
        <v>7</v>
      </c>
      <c r="E43" s="16" t="s">
        <v>20</v>
      </c>
    </row>
    <row r="44" spans="1:6" x14ac:dyDescent="0.25">
      <c r="A44" s="5" t="s">
        <v>55</v>
      </c>
      <c r="B44" s="6" t="s">
        <v>12</v>
      </c>
      <c r="C44" s="7">
        <v>8862577.6099999994</v>
      </c>
      <c r="D44" s="5" t="s">
        <v>7</v>
      </c>
      <c r="E44" s="6" t="s">
        <v>42</v>
      </c>
    </row>
    <row r="45" spans="1:6" x14ac:dyDescent="0.25">
      <c r="A45" s="5" t="s">
        <v>55</v>
      </c>
      <c r="B45" s="6" t="s">
        <v>10</v>
      </c>
      <c r="C45" s="7">
        <v>29159.759999999998</v>
      </c>
      <c r="D45" s="5" t="s">
        <v>7</v>
      </c>
      <c r="E45" s="6" t="s">
        <v>42</v>
      </c>
    </row>
    <row r="46" spans="1:6" x14ac:dyDescent="0.25">
      <c r="A46" s="5" t="s">
        <v>55</v>
      </c>
      <c r="B46" s="6" t="s">
        <v>10</v>
      </c>
      <c r="C46" s="7">
        <v>46956.35</v>
      </c>
      <c r="D46" s="5" t="s">
        <v>7</v>
      </c>
      <c r="E46" s="6" t="s">
        <v>42</v>
      </c>
    </row>
    <row r="47" spans="1:6" x14ac:dyDescent="0.25">
      <c r="A47" s="5" t="s">
        <v>55</v>
      </c>
      <c r="B47" s="6" t="s">
        <v>10</v>
      </c>
      <c r="C47" s="7">
        <v>197947.69</v>
      </c>
      <c r="D47" s="5" t="s">
        <v>7</v>
      </c>
      <c r="E47" s="6" t="s">
        <v>42</v>
      </c>
    </row>
    <row r="48" spans="1:6" x14ac:dyDescent="0.25">
      <c r="A48" s="5" t="s">
        <v>55</v>
      </c>
      <c r="B48" s="6" t="s">
        <v>10</v>
      </c>
      <c r="C48" s="7">
        <v>232597.13</v>
      </c>
      <c r="D48" s="5" t="s">
        <v>7</v>
      </c>
      <c r="E48" s="6" t="s">
        <v>42</v>
      </c>
    </row>
    <row r="49" spans="1:10" x14ac:dyDescent="0.25">
      <c r="A49" s="5" t="s">
        <v>55</v>
      </c>
      <c r="B49" s="6" t="s">
        <v>10</v>
      </c>
      <c r="C49" s="7">
        <v>256293.43</v>
      </c>
      <c r="D49" s="5" t="s">
        <v>7</v>
      </c>
      <c r="E49" s="6" t="s">
        <v>42</v>
      </c>
    </row>
    <row r="50" spans="1:10" hidden="1" x14ac:dyDescent="0.25">
      <c r="A50" s="15" t="s">
        <v>55</v>
      </c>
      <c r="B50" s="16" t="s">
        <v>17</v>
      </c>
      <c r="C50" s="17">
        <v>9625531.9700000007</v>
      </c>
      <c r="D50" s="15" t="s">
        <v>16</v>
      </c>
      <c r="E50" s="16" t="s">
        <v>44</v>
      </c>
    </row>
    <row r="51" spans="1:10" x14ac:dyDescent="0.25">
      <c r="A51" s="5" t="s">
        <v>56</v>
      </c>
      <c r="B51" s="6" t="s">
        <v>10</v>
      </c>
      <c r="C51" s="7">
        <v>292819.53000000003</v>
      </c>
      <c r="D51" s="5" t="s">
        <v>7</v>
      </c>
      <c r="E51" s="6" t="s">
        <v>42</v>
      </c>
    </row>
    <row r="52" spans="1:10" hidden="1" x14ac:dyDescent="0.25">
      <c r="A52" s="15" t="s">
        <v>56</v>
      </c>
      <c r="B52" s="16" t="s">
        <v>17</v>
      </c>
      <c r="C52" s="17">
        <v>292819.53000000003</v>
      </c>
      <c r="D52" s="15" t="s">
        <v>16</v>
      </c>
      <c r="E52" s="16" t="s">
        <v>44</v>
      </c>
    </row>
    <row r="53" spans="1:10" hidden="1" x14ac:dyDescent="0.25">
      <c r="A53" s="12" t="s">
        <v>57</v>
      </c>
      <c r="B53" s="11" t="s">
        <v>22</v>
      </c>
      <c r="C53" s="13">
        <v>32437755.140000001</v>
      </c>
      <c r="D53" s="12" t="s">
        <v>16</v>
      </c>
      <c r="E53" s="11" t="s">
        <v>399</v>
      </c>
      <c r="F53" s="296" t="s">
        <v>400</v>
      </c>
    </row>
    <row r="54" spans="1:10" hidden="1" x14ac:dyDescent="0.25">
      <c r="A54" s="12" t="s">
        <v>57</v>
      </c>
      <c r="B54" s="11" t="s">
        <v>22</v>
      </c>
      <c r="C54" s="13">
        <v>546363.75</v>
      </c>
      <c r="D54" s="12" t="s">
        <v>16</v>
      </c>
      <c r="E54" s="11" t="s">
        <v>399</v>
      </c>
      <c r="F54" s="296" t="s">
        <v>400</v>
      </c>
    </row>
    <row r="55" spans="1:10" hidden="1" x14ac:dyDescent="0.25">
      <c r="A55" s="12" t="s">
        <v>57</v>
      </c>
      <c r="B55" s="11" t="s">
        <v>22</v>
      </c>
      <c r="C55" s="13">
        <v>282543.38</v>
      </c>
      <c r="D55" s="12" t="s">
        <v>16</v>
      </c>
      <c r="E55" s="11" t="s">
        <v>399</v>
      </c>
      <c r="F55" s="296" t="s">
        <v>400</v>
      </c>
    </row>
    <row r="56" spans="1:10" hidden="1" x14ac:dyDescent="0.25">
      <c r="A56" s="12" t="s">
        <v>57</v>
      </c>
      <c r="B56" s="11" t="s">
        <v>22</v>
      </c>
      <c r="C56" s="13">
        <v>694.48</v>
      </c>
      <c r="D56" s="12" t="s">
        <v>16</v>
      </c>
      <c r="E56" s="11" t="s">
        <v>399</v>
      </c>
      <c r="F56" s="296" t="s">
        <v>400</v>
      </c>
    </row>
    <row r="57" spans="1:10" hidden="1" x14ac:dyDescent="0.25">
      <c r="A57" s="12" t="s">
        <v>57</v>
      </c>
      <c r="B57" s="11" t="s">
        <v>22</v>
      </c>
      <c r="C57" s="13">
        <v>14605.34</v>
      </c>
      <c r="D57" s="12" t="s">
        <v>16</v>
      </c>
      <c r="E57" s="11" t="s">
        <v>399</v>
      </c>
      <c r="F57" s="296" t="s">
        <v>400</v>
      </c>
    </row>
    <row r="58" spans="1:10" hidden="1" x14ac:dyDescent="0.25">
      <c r="A58" s="12" t="s">
        <v>57</v>
      </c>
      <c r="B58" s="11" t="s">
        <v>22</v>
      </c>
      <c r="C58" s="13">
        <v>551705.75</v>
      </c>
      <c r="D58" s="12" t="s">
        <v>16</v>
      </c>
      <c r="E58" s="11" t="s">
        <v>399</v>
      </c>
      <c r="F58" s="296" t="s">
        <v>400</v>
      </c>
    </row>
    <row r="59" spans="1:10" hidden="1" x14ac:dyDescent="0.25">
      <c r="A59" s="12" t="s">
        <v>57</v>
      </c>
      <c r="B59" s="11" t="s">
        <v>37</v>
      </c>
      <c r="C59" s="13">
        <v>17450.03</v>
      </c>
      <c r="D59" s="12" t="s">
        <v>16</v>
      </c>
      <c r="E59" s="11" t="s">
        <v>399</v>
      </c>
      <c r="F59" s="296" t="s">
        <v>400</v>
      </c>
    </row>
    <row r="60" spans="1:10" hidden="1" x14ac:dyDescent="0.25">
      <c r="A60" s="12" t="s">
        <v>57</v>
      </c>
      <c r="B60" s="11" t="s">
        <v>50</v>
      </c>
      <c r="C60" s="13">
        <v>324463.94</v>
      </c>
      <c r="D60" s="12" t="s">
        <v>16</v>
      </c>
      <c r="E60" s="11" t="s">
        <v>399</v>
      </c>
      <c r="F60" s="296" t="s">
        <v>400</v>
      </c>
      <c r="J60" s="14"/>
    </row>
    <row r="61" spans="1:10" x14ac:dyDescent="0.25">
      <c r="A61" s="15" t="s">
        <v>57</v>
      </c>
      <c r="B61" s="16" t="s">
        <v>20</v>
      </c>
      <c r="C61" s="17">
        <v>34175581.810000002</v>
      </c>
      <c r="D61" s="15" t="s">
        <v>7</v>
      </c>
      <c r="E61" s="16" t="s">
        <v>20</v>
      </c>
    </row>
    <row r="62" spans="1:10" x14ac:dyDescent="0.25">
      <c r="A62" s="5" t="s">
        <v>58</v>
      </c>
      <c r="B62" s="6" t="s">
        <v>10</v>
      </c>
      <c r="C62" s="7">
        <v>665896.30000000005</v>
      </c>
      <c r="D62" s="5" t="s">
        <v>7</v>
      </c>
      <c r="E62" s="6" t="s">
        <v>42</v>
      </c>
    </row>
    <row r="63" spans="1:10" x14ac:dyDescent="0.25">
      <c r="A63" s="5" t="s">
        <v>58</v>
      </c>
      <c r="B63" s="6" t="s">
        <v>12</v>
      </c>
      <c r="C63" s="7">
        <v>1774880.23</v>
      </c>
      <c r="D63" s="5" t="s">
        <v>7</v>
      </c>
      <c r="E63" s="6" t="s">
        <v>42</v>
      </c>
    </row>
    <row r="64" spans="1:10" x14ac:dyDescent="0.25">
      <c r="A64" s="5" t="s">
        <v>58</v>
      </c>
      <c r="B64" s="6" t="s">
        <v>11</v>
      </c>
      <c r="C64" s="7">
        <v>180.75</v>
      </c>
      <c r="D64" s="5" t="s">
        <v>7</v>
      </c>
      <c r="E64" s="6" t="s">
        <v>42</v>
      </c>
    </row>
    <row r="65" spans="1:7" x14ac:dyDescent="0.25">
      <c r="A65" s="5" t="s">
        <v>58</v>
      </c>
      <c r="B65" s="6" t="s">
        <v>13</v>
      </c>
      <c r="C65" s="7">
        <v>815681.4</v>
      </c>
      <c r="D65" s="5" t="s">
        <v>7</v>
      </c>
      <c r="E65" s="6" t="s">
        <v>42</v>
      </c>
    </row>
    <row r="66" spans="1:7" x14ac:dyDescent="0.25">
      <c r="A66" s="5" t="s">
        <v>58</v>
      </c>
      <c r="B66" s="6" t="s">
        <v>13</v>
      </c>
      <c r="C66" s="7">
        <v>1896219.25</v>
      </c>
      <c r="D66" s="5" t="s">
        <v>7</v>
      </c>
      <c r="E66" s="6" t="s">
        <v>42</v>
      </c>
    </row>
    <row r="67" spans="1:7" x14ac:dyDescent="0.25">
      <c r="A67" s="5" t="s">
        <v>58</v>
      </c>
      <c r="B67" s="6" t="s">
        <v>13</v>
      </c>
      <c r="C67" s="7">
        <v>21447584.100000001</v>
      </c>
      <c r="D67" s="5" t="s">
        <v>7</v>
      </c>
      <c r="E67" s="6" t="s">
        <v>42</v>
      </c>
    </row>
    <row r="68" spans="1:7" x14ac:dyDescent="0.25">
      <c r="A68" s="5" t="s">
        <v>58</v>
      </c>
      <c r="B68" s="6" t="s">
        <v>13</v>
      </c>
      <c r="C68" s="7">
        <v>9596.19</v>
      </c>
      <c r="D68" s="5" t="s">
        <v>7</v>
      </c>
      <c r="E68" s="6" t="s">
        <v>42</v>
      </c>
    </row>
    <row r="69" spans="1:7" x14ac:dyDescent="0.25">
      <c r="A69" s="12" t="s">
        <v>58</v>
      </c>
      <c r="B69" s="11" t="s">
        <v>14</v>
      </c>
      <c r="C69" s="13">
        <v>7464.77</v>
      </c>
      <c r="D69" s="12" t="s">
        <v>7</v>
      </c>
      <c r="E69" s="11" t="s">
        <v>43</v>
      </c>
    </row>
    <row r="70" spans="1:7" x14ac:dyDescent="0.25">
      <c r="A70" s="5" t="s">
        <v>58</v>
      </c>
      <c r="B70" s="6" t="s">
        <v>14</v>
      </c>
      <c r="C70" s="7">
        <v>4330.66</v>
      </c>
      <c r="D70" s="5" t="s">
        <v>7</v>
      </c>
      <c r="E70" s="6" t="s">
        <v>42</v>
      </c>
    </row>
    <row r="71" spans="1:7" hidden="1" x14ac:dyDescent="0.25">
      <c r="A71" s="12" t="s">
        <v>58</v>
      </c>
      <c r="B71" s="11" t="s">
        <v>15</v>
      </c>
      <c r="C71" s="13">
        <v>7464.77</v>
      </c>
      <c r="D71" s="12" t="s">
        <v>16</v>
      </c>
      <c r="E71" s="11" t="s">
        <v>43</v>
      </c>
    </row>
    <row r="72" spans="1:7" hidden="1" x14ac:dyDescent="0.25">
      <c r="A72" s="2" t="s">
        <v>58</v>
      </c>
      <c r="B72" t="s">
        <v>26</v>
      </c>
      <c r="C72" s="1">
        <v>333.78</v>
      </c>
      <c r="D72" s="2" t="s">
        <v>16</v>
      </c>
      <c r="E72" t="s">
        <v>27</v>
      </c>
      <c r="F72" s="64" t="s">
        <v>245</v>
      </c>
      <c r="G72" s="64" t="s">
        <v>389</v>
      </c>
    </row>
    <row r="73" spans="1:7" hidden="1" x14ac:dyDescent="0.25">
      <c r="A73" s="2" t="s">
        <v>58</v>
      </c>
      <c r="B73" t="s">
        <v>26</v>
      </c>
      <c r="C73" s="1">
        <v>333.78</v>
      </c>
      <c r="D73" s="2" t="s">
        <v>16</v>
      </c>
      <c r="E73" t="s">
        <v>27</v>
      </c>
      <c r="F73" s="64" t="s">
        <v>247</v>
      </c>
      <c r="G73" s="64" t="s">
        <v>389</v>
      </c>
    </row>
    <row r="74" spans="1:7" hidden="1" x14ac:dyDescent="0.25">
      <c r="A74" s="18" t="s">
        <v>58</v>
      </c>
      <c r="B74" s="19" t="s">
        <v>24</v>
      </c>
      <c r="C74" s="20">
        <v>1</v>
      </c>
      <c r="D74" s="18" t="s">
        <v>16</v>
      </c>
      <c r="E74" s="19" t="s">
        <v>45</v>
      </c>
    </row>
    <row r="75" spans="1:7" hidden="1" x14ac:dyDescent="0.25">
      <c r="A75" s="15" t="s">
        <v>58</v>
      </c>
      <c r="B75" s="16" t="s">
        <v>17</v>
      </c>
      <c r="C75" s="17">
        <v>26613700.32</v>
      </c>
      <c r="D75" s="15" t="s">
        <v>16</v>
      </c>
      <c r="E75" s="16" t="s">
        <v>44</v>
      </c>
    </row>
  </sheetData>
  <autoFilter ref="A3:F75" xr:uid="{826D26ED-E069-4C4C-88B3-404F4729CC85}">
    <filterColumn colId="3">
      <filters>
        <filter val="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B386-6AD7-4C5C-AD10-1B44D04B774D}">
  <dimension ref="A1:G68"/>
  <sheetViews>
    <sheetView zoomScale="115" zoomScaleNormal="115" workbookViewId="0">
      <selection activeCell="E42" sqref="E42"/>
    </sheetView>
  </sheetViews>
  <sheetFormatPr defaultRowHeight="12.75" x14ac:dyDescent="0.2"/>
  <cols>
    <col min="1" max="1" width="15.28515625" style="66" customWidth="1"/>
    <col min="2" max="2" width="16.5703125" style="66" customWidth="1"/>
    <col min="3" max="3" width="37.140625" style="66" customWidth="1"/>
    <col min="4" max="4" width="14" style="66" bestFit="1" customWidth="1"/>
    <col min="5" max="5" width="19.28515625" style="66" customWidth="1"/>
    <col min="6" max="6" width="13.5703125" style="72" customWidth="1"/>
    <col min="7" max="7" width="13" style="66" customWidth="1"/>
    <col min="8" max="249" width="9.140625" style="66"/>
    <col min="250" max="252" width="40" style="66" bestFit="1" customWidth="1"/>
    <col min="253" max="253" width="15" style="66" bestFit="1" customWidth="1"/>
    <col min="254" max="254" width="18" style="66" bestFit="1" customWidth="1"/>
    <col min="255" max="256" width="11" style="66" bestFit="1" customWidth="1"/>
    <col min="257" max="257" width="40" style="66" bestFit="1" customWidth="1"/>
    <col min="258" max="258" width="28" style="66" bestFit="1" customWidth="1"/>
    <col min="259" max="259" width="13" style="66" bestFit="1" customWidth="1"/>
    <col min="260" max="260" width="30" style="66" bestFit="1" customWidth="1"/>
    <col min="261" max="505" width="9.140625" style="66"/>
    <col min="506" max="508" width="40" style="66" bestFit="1" customWidth="1"/>
    <col min="509" max="509" width="15" style="66" bestFit="1" customWidth="1"/>
    <col min="510" max="510" width="18" style="66" bestFit="1" customWidth="1"/>
    <col min="511" max="512" width="11" style="66" bestFit="1" customWidth="1"/>
    <col min="513" max="513" width="40" style="66" bestFit="1" customWidth="1"/>
    <col min="514" max="514" width="28" style="66" bestFit="1" customWidth="1"/>
    <col min="515" max="515" width="13" style="66" bestFit="1" customWidth="1"/>
    <col min="516" max="516" width="30" style="66" bestFit="1" customWidth="1"/>
    <col min="517" max="761" width="9.140625" style="66"/>
    <col min="762" max="764" width="40" style="66" bestFit="1" customWidth="1"/>
    <col min="765" max="765" width="15" style="66" bestFit="1" customWidth="1"/>
    <col min="766" max="766" width="18" style="66" bestFit="1" customWidth="1"/>
    <col min="767" max="768" width="11" style="66" bestFit="1" customWidth="1"/>
    <col min="769" max="769" width="40" style="66" bestFit="1" customWidth="1"/>
    <col min="770" max="770" width="28" style="66" bestFit="1" customWidth="1"/>
    <col min="771" max="771" width="13" style="66" bestFit="1" customWidth="1"/>
    <col min="772" max="772" width="30" style="66" bestFit="1" customWidth="1"/>
    <col min="773" max="1017" width="9.140625" style="66"/>
    <col min="1018" max="1020" width="40" style="66" bestFit="1" customWidth="1"/>
    <col min="1021" max="1021" width="15" style="66" bestFit="1" customWidth="1"/>
    <col min="1022" max="1022" width="18" style="66" bestFit="1" customWidth="1"/>
    <col min="1023" max="1024" width="11" style="66" bestFit="1" customWidth="1"/>
    <col min="1025" max="1025" width="40" style="66" bestFit="1" customWidth="1"/>
    <col min="1026" max="1026" width="28" style="66" bestFit="1" customWidth="1"/>
    <col min="1027" max="1027" width="13" style="66" bestFit="1" customWidth="1"/>
    <col min="1028" max="1028" width="30" style="66" bestFit="1" customWidth="1"/>
    <col min="1029" max="1273" width="9.140625" style="66"/>
    <col min="1274" max="1276" width="40" style="66" bestFit="1" customWidth="1"/>
    <col min="1277" max="1277" width="15" style="66" bestFit="1" customWidth="1"/>
    <col min="1278" max="1278" width="18" style="66" bestFit="1" customWidth="1"/>
    <col min="1279" max="1280" width="11" style="66" bestFit="1" customWidth="1"/>
    <col min="1281" max="1281" width="40" style="66" bestFit="1" customWidth="1"/>
    <col min="1282" max="1282" width="28" style="66" bestFit="1" customWidth="1"/>
    <col min="1283" max="1283" width="13" style="66" bestFit="1" customWidth="1"/>
    <col min="1284" max="1284" width="30" style="66" bestFit="1" customWidth="1"/>
    <col min="1285" max="1529" width="9.140625" style="66"/>
    <col min="1530" max="1532" width="40" style="66" bestFit="1" customWidth="1"/>
    <col min="1533" max="1533" width="15" style="66" bestFit="1" customWidth="1"/>
    <col min="1534" max="1534" width="18" style="66" bestFit="1" customWidth="1"/>
    <col min="1535" max="1536" width="11" style="66" bestFit="1" customWidth="1"/>
    <col min="1537" max="1537" width="40" style="66" bestFit="1" customWidth="1"/>
    <col min="1538" max="1538" width="28" style="66" bestFit="1" customWidth="1"/>
    <col min="1539" max="1539" width="13" style="66" bestFit="1" customWidth="1"/>
    <col min="1540" max="1540" width="30" style="66" bestFit="1" customWidth="1"/>
    <col min="1541" max="1785" width="9.140625" style="66"/>
    <col min="1786" max="1788" width="40" style="66" bestFit="1" customWidth="1"/>
    <col min="1789" max="1789" width="15" style="66" bestFit="1" customWidth="1"/>
    <col min="1790" max="1790" width="18" style="66" bestFit="1" customWidth="1"/>
    <col min="1791" max="1792" width="11" style="66" bestFit="1" customWidth="1"/>
    <col min="1793" max="1793" width="40" style="66" bestFit="1" customWidth="1"/>
    <col min="1794" max="1794" width="28" style="66" bestFit="1" customWidth="1"/>
    <col min="1795" max="1795" width="13" style="66" bestFit="1" customWidth="1"/>
    <col min="1796" max="1796" width="30" style="66" bestFit="1" customWidth="1"/>
    <col min="1797" max="2041" width="9.140625" style="66"/>
    <col min="2042" max="2044" width="40" style="66" bestFit="1" customWidth="1"/>
    <col min="2045" max="2045" width="15" style="66" bestFit="1" customWidth="1"/>
    <col min="2046" max="2046" width="18" style="66" bestFit="1" customWidth="1"/>
    <col min="2047" max="2048" width="11" style="66" bestFit="1" customWidth="1"/>
    <col min="2049" max="2049" width="40" style="66" bestFit="1" customWidth="1"/>
    <col min="2050" max="2050" width="28" style="66" bestFit="1" customWidth="1"/>
    <col min="2051" max="2051" width="13" style="66" bestFit="1" customWidth="1"/>
    <col min="2052" max="2052" width="30" style="66" bestFit="1" customWidth="1"/>
    <col min="2053" max="2297" width="9.140625" style="66"/>
    <col min="2298" max="2300" width="40" style="66" bestFit="1" customWidth="1"/>
    <col min="2301" max="2301" width="15" style="66" bestFit="1" customWidth="1"/>
    <col min="2302" max="2302" width="18" style="66" bestFit="1" customWidth="1"/>
    <col min="2303" max="2304" width="11" style="66" bestFit="1" customWidth="1"/>
    <col min="2305" max="2305" width="40" style="66" bestFit="1" customWidth="1"/>
    <col min="2306" max="2306" width="28" style="66" bestFit="1" customWidth="1"/>
    <col min="2307" max="2307" width="13" style="66" bestFit="1" customWidth="1"/>
    <col min="2308" max="2308" width="30" style="66" bestFit="1" customWidth="1"/>
    <col min="2309" max="2553" width="9.140625" style="66"/>
    <col min="2554" max="2556" width="40" style="66" bestFit="1" customWidth="1"/>
    <col min="2557" max="2557" width="15" style="66" bestFit="1" customWidth="1"/>
    <col min="2558" max="2558" width="18" style="66" bestFit="1" customWidth="1"/>
    <col min="2559" max="2560" width="11" style="66" bestFit="1" customWidth="1"/>
    <col min="2561" max="2561" width="40" style="66" bestFit="1" customWidth="1"/>
    <col min="2562" max="2562" width="28" style="66" bestFit="1" customWidth="1"/>
    <col min="2563" max="2563" width="13" style="66" bestFit="1" customWidth="1"/>
    <col min="2564" max="2564" width="30" style="66" bestFit="1" customWidth="1"/>
    <col min="2565" max="2809" width="9.140625" style="66"/>
    <col min="2810" max="2812" width="40" style="66" bestFit="1" customWidth="1"/>
    <col min="2813" max="2813" width="15" style="66" bestFit="1" customWidth="1"/>
    <col min="2814" max="2814" width="18" style="66" bestFit="1" customWidth="1"/>
    <col min="2815" max="2816" width="11" style="66" bestFit="1" customWidth="1"/>
    <col min="2817" max="2817" width="40" style="66" bestFit="1" customWidth="1"/>
    <col min="2818" max="2818" width="28" style="66" bestFit="1" customWidth="1"/>
    <col min="2819" max="2819" width="13" style="66" bestFit="1" customWidth="1"/>
    <col min="2820" max="2820" width="30" style="66" bestFit="1" customWidth="1"/>
    <col min="2821" max="3065" width="9.140625" style="66"/>
    <col min="3066" max="3068" width="40" style="66" bestFit="1" customWidth="1"/>
    <col min="3069" max="3069" width="15" style="66" bestFit="1" customWidth="1"/>
    <col min="3070" max="3070" width="18" style="66" bestFit="1" customWidth="1"/>
    <col min="3071" max="3072" width="11" style="66" bestFit="1" customWidth="1"/>
    <col min="3073" max="3073" width="40" style="66" bestFit="1" customWidth="1"/>
    <col min="3074" max="3074" width="28" style="66" bestFit="1" customWidth="1"/>
    <col min="3075" max="3075" width="13" style="66" bestFit="1" customWidth="1"/>
    <col min="3076" max="3076" width="30" style="66" bestFit="1" customWidth="1"/>
    <col min="3077" max="3321" width="9.140625" style="66"/>
    <col min="3322" max="3324" width="40" style="66" bestFit="1" customWidth="1"/>
    <col min="3325" max="3325" width="15" style="66" bestFit="1" customWidth="1"/>
    <col min="3326" max="3326" width="18" style="66" bestFit="1" customWidth="1"/>
    <col min="3327" max="3328" width="11" style="66" bestFit="1" customWidth="1"/>
    <col min="3329" max="3329" width="40" style="66" bestFit="1" customWidth="1"/>
    <col min="3330" max="3330" width="28" style="66" bestFit="1" customWidth="1"/>
    <col min="3331" max="3331" width="13" style="66" bestFit="1" customWidth="1"/>
    <col min="3332" max="3332" width="30" style="66" bestFit="1" customWidth="1"/>
    <col min="3333" max="3577" width="9.140625" style="66"/>
    <col min="3578" max="3580" width="40" style="66" bestFit="1" customWidth="1"/>
    <col min="3581" max="3581" width="15" style="66" bestFit="1" customWidth="1"/>
    <col min="3582" max="3582" width="18" style="66" bestFit="1" customWidth="1"/>
    <col min="3583" max="3584" width="11" style="66" bestFit="1" customWidth="1"/>
    <col min="3585" max="3585" width="40" style="66" bestFit="1" customWidth="1"/>
    <col min="3586" max="3586" width="28" style="66" bestFit="1" customWidth="1"/>
    <col min="3587" max="3587" width="13" style="66" bestFit="1" customWidth="1"/>
    <col min="3588" max="3588" width="30" style="66" bestFit="1" customWidth="1"/>
    <col min="3589" max="3833" width="9.140625" style="66"/>
    <col min="3834" max="3836" width="40" style="66" bestFit="1" customWidth="1"/>
    <col min="3837" max="3837" width="15" style="66" bestFit="1" customWidth="1"/>
    <col min="3838" max="3838" width="18" style="66" bestFit="1" customWidth="1"/>
    <col min="3839" max="3840" width="11" style="66" bestFit="1" customWidth="1"/>
    <col min="3841" max="3841" width="40" style="66" bestFit="1" customWidth="1"/>
    <col min="3842" max="3842" width="28" style="66" bestFit="1" customWidth="1"/>
    <col min="3843" max="3843" width="13" style="66" bestFit="1" customWidth="1"/>
    <col min="3844" max="3844" width="30" style="66" bestFit="1" customWidth="1"/>
    <col min="3845" max="4089" width="9.140625" style="66"/>
    <col min="4090" max="4092" width="40" style="66" bestFit="1" customWidth="1"/>
    <col min="4093" max="4093" width="15" style="66" bestFit="1" customWidth="1"/>
    <col min="4094" max="4094" width="18" style="66" bestFit="1" customWidth="1"/>
    <col min="4095" max="4096" width="11" style="66" bestFit="1" customWidth="1"/>
    <col min="4097" max="4097" width="40" style="66" bestFit="1" customWidth="1"/>
    <col min="4098" max="4098" width="28" style="66" bestFit="1" customWidth="1"/>
    <col min="4099" max="4099" width="13" style="66" bestFit="1" customWidth="1"/>
    <col min="4100" max="4100" width="30" style="66" bestFit="1" customWidth="1"/>
    <col min="4101" max="4345" width="9.140625" style="66"/>
    <col min="4346" max="4348" width="40" style="66" bestFit="1" customWidth="1"/>
    <col min="4349" max="4349" width="15" style="66" bestFit="1" customWidth="1"/>
    <col min="4350" max="4350" width="18" style="66" bestFit="1" customWidth="1"/>
    <col min="4351" max="4352" width="11" style="66" bestFit="1" customWidth="1"/>
    <col min="4353" max="4353" width="40" style="66" bestFit="1" customWidth="1"/>
    <col min="4354" max="4354" width="28" style="66" bestFit="1" customWidth="1"/>
    <col min="4355" max="4355" width="13" style="66" bestFit="1" customWidth="1"/>
    <col min="4356" max="4356" width="30" style="66" bestFit="1" customWidth="1"/>
    <col min="4357" max="4601" width="9.140625" style="66"/>
    <col min="4602" max="4604" width="40" style="66" bestFit="1" customWidth="1"/>
    <col min="4605" max="4605" width="15" style="66" bestFit="1" customWidth="1"/>
    <col min="4606" max="4606" width="18" style="66" bestFit="1" customWidth="1"/>
    <col min="4607" max="4608" width="11" style="66" bestFit="1" customWidth="1"/>
    <col min="4609" max="4609" width="40" style="66" bestFit="1" customWidth="1"/>
    <col min="4610" max="4610" width="28" style="66" bestFit="1" customWidth="1"/>
    <col min="4611" max="4611" width="13" style="66" bestFit="1" customWidth="1"/>
    <col min="4612" max="4612" width="30" style="66" bestFit="1" customWidth="1"/>
    <col min="4613" max="4857" width="9.140625" style="66"/>
    <col min="4858" max="4860" width="40" style="66" bestFit="1" customWidth="1"/>
    <col min="4861" max="4861" width="15" style="66" bestFit="1" customWidth="1"/>
    <col min="4862" max="4862" width="18" style="66" bestFit="1" customWidth="1"/>
    <col min="4863" max="4864" width="11" style="66" bestFit="1" customWidth="1"/>
    <col min="4865" max="4865" width="40" style="66" bestFit="1" customWidth="1"/>
    <col min="4866" max="4866" width="28" style="66" bestFit="1" customWidth="1"/>
    <col min="4867" max="4867" width="13" style="66" bestFit="1" customWidth="1"/>
    <col min="4868" max="4868" width="30" style="66" bestFit="1" customWidth="1"/>
    <col min="4869" max="5113" width="9.140625" style="66"/>
    <col min="5114" max="5116" width="40" style="66" bestFit="1" customWidth="1"/>
    <col min="5117" max="5117" width="15" style="66" bestFit="1" customWidth="1"/>
    <col min="5118" max="5118" width="18" style="66" bestFit="1" customWidth="1"/>
    <col min="5119" max="5120" width="11" style="66" bestFit="1" customWidth="1"/>
    <col min="5121" max="5121" width="40" style="66" bestFit="1" customWidth="1"/>
    <col min="5122" max="5122" width="28" style="66" bestFit="1" customWidth="1"/>
    <col min="5123" max="5123" width="13" style="66" bestFit="1" customWidth="1"/>
    <col min="5124" max="5124" width="30" style="66" bestFit="1" customWidth="1"/>
    <col min="5125" max="5369" width="9.140625" style="66"/>
    <col min="5370" max="5372" width="40" style="66" bestFit="1" customWidth="1"/>
    <col min="5373" max="5373" width="15" style="66" bestFit="1" customWidth="1"/>
    <col min="5374" max="5374" width="18" style="66" bestFit="1" customWidth="1"/>
    <col min="5375" max="5376" width="11" style="66" bestFit="1" customWidth="1"/>
    <col min="5377" max="5377" width="40" style="66" bestFit="1" customWidth="1"/>
    <col min="5378" max="5378" width="28" style="66" bestFit="1" customWidth="1"/>
    <col min="5379" max="5379" width="13" style="66" bestFit="1" customWidth="1"/>
    <col min="5380" max="5380" width="30" style="66" bestFit="1" customWidth="1"/>
    <col min="5381" max="5625" width="9.140625" style="66"/>
    <col min="5626" max="5628" width="40" style="66" bestFit="1" customWidth="1"/>
    <col min="5629" max="5629" width="15" style="66" bestFit="1" customWidth="1"/>
    <col min="5630" max="5630" width="18" style="66" bestFit="1" customWidth="1"/>
    <col min="5631" max="5632" width="11" style="66" bestFit="1" customWidth="1"/>
    <col min="5633" max="5633" width="40" style="66" bestFit="1" customWidth="1"/>
    <col min="5634" max="5634" width="28" style="66" bestFit="1" customWidth="1"/>
    <col min="5635" max="5635" width="13" style="66" bestFit="1" customWidth="1"/>
    <col min="5636" max="5636" width="30" style="66" bestFit="1" customWidth="1"/>
    <col min="5637" max="5881" width="9.140625" style="66"/>
    <col min="5882" max="5884" width="40" style="66" bestFit="1" customWidth="1"/>
    <col min="5885" max="5885" width="15" style="66" bestFit="1" customWidth="1"/>
    <col min="5886" max="5886" width="18" style="66" bestFit="1" customWidth="1"/>
    <col min="5887" max="5888" width="11" style="66" bestFit="1" customWidth="1"/>
    <col min="5889" max="5889" width="40" style="66" bestFit="1" customWidth="1"/>
    <col min="5890" max="5890" width="28" style="66" bestFit="1" customWidth="1"/>
    <col min="5891" max="5891" width="13" style="66" bestFit="1" customWidth="1"/>
    <col min="5892" max="5892" width="30" style="66" bestFit="1" customWidth="1"/>
    <col min="5893" max="6137" width="9.140625" style="66"/>
    <col min="6138" max="6140" width="40" style="66" bestFit="1" customWidth="1"/>
    <col min="6141" max="6141" width="15" style="66" bestFit="1" customWidth="1"/>
    <col min="6142" max="6142" width="18" style="66" bestFit="1" customWidth="1"/>
    <col min="6143" max="6144" width="11" style="66" bestFit="1" customWidth="1"/>
    <col min="6145" max="6145" width="40" style="66" bestFit="1" customWidth="1"/>
    <col min="6146" max="6146" width="28" style="66" bestFit="1" customWidth="1"/>
    <col min="6147" max="6147" width="13" style="66" bestFit="1" customWidth="1"/>
    <col min="6148" max="6148" width="30" style="66" bestFit="1" customWidth="1"/>
    <col min="6149" max="6393" width="9.140625" style="66"/>
    <col min="6394" max="6396" width="40" style="66" bestFit="1" customWidth="1"/>
    <col min="6397" max="6397" width="15" style="66" bestFit="1" customWidth="1"/>
    <col min="6398" max="6398" width="18" style="66" bestFit="1" customWidth="1"/>
    <col min="6399" max="6400" width="11" style="66" bestFit="1" customWidth="1"/>
    <col min="6401" max="6401" width="40" style="66" bestFit="1" customWidth="1"/>
    <col min="6402" max="6402" width="28" style="66" bestFit="1" customWidth="1"/>
    <col min="6403" max="6403" width="13" style="66" bestFit="1" customWidth="1"/>
    <col min="6404" max="6404" width="30" style="66" bestFit="1" customWidth="1"/>
    <col min="6405" max="6649" width="9.140625" style="66"/>
    <col min="6650" max="6652" width="40" style="66" bestFit="1" customWidth="1"/>
    <col min="6653" max="6653" width="15" style="66" bestFit="1" customWidth="1"/>
    <col min="6654" max="6654" width="18" style="66" bestFit="1" customWidth="1"/>
    <col min="6655" max="6656" width="11" style="66" bestFit="1" customWidth="1"/>
    <col min="6657" max="6657" width="40" style="66" bestFit="1" customWidth="1"/>
    <col min="6658" max="6658" width="28" style="66" bestFit="1" customWidth="1"/>
    <col min="6659" max="6659" width="13" style="66" bestFit="1" customWidth="1"/>
    <col min="6660" max="6660" width="30" style="66" bestFit="1" customWidth="1"/>
    <col min="6661" max="6905" width="9.140625" style="66"/>
    <col min="6906" max="6908" width="40" style="66" bestFit="1" customWidth="1"/>
    <col min="6909" max="6909" width="15" style="66" bestFit="1" customWidth="1"/>
    <col min="6910" max="6910" width="18" style="66" bestFit="1" customWidth="1"/>
    <col min="6911" max="6912" width="11" style="66" bestFit="1" customWidth="1"/>
    <col min="6913" max="6913" width="40" style="66" bestFit="1" customWidth="1"/>
    <col min="6914" max="6914" width="28" style="66" bestFit="1" customWidth="1"/>
    <col min="6915" max="6915" width="13" style="66" bestFit="1" customWidth="1"/>
    <col min="6916" max="6916" width="30" style="66" bestFit="1" customWidth="1"/>
    <col min="6917" max="7161" width="9.140625" style="66"/>
    <col min="7162" max="7164" width="40" style="66" bestFit="1" customWidth="1"/>
    <col min="7165" max="7165" width="15" style="66" bestFit="1" customWidth="1"/>
    <col min="7166" max="7166" width="18" style="66" bestFit="1" customWidth="1"/>
    <col min="7167" max="7168" width="11" style="66" bestFit="1" customWidth="1"/>
    <col min="7169" max="7169" width="40" style="66" bestFit="1" customWidth="1"/>
    <col min="7170" max="7170" width="28" style="66" bestFit="1" customWidth="1"/>
    <col min="7171" max="7171" width="13" style="66" bestFit="1" customWidth="1"/>
    <col min="7172" max="7172" width="30" style="66" bestFit="1" customWidth="1"/>
    <col min="7173" max="7417" width="9.140625" style="66"/>
    <col min="7418" max="7420" width="40" style="66" bestFit="1" customWidth="1"/>
    <col min="7421" max="7421" width="15" style="66" bestFit="1" customWidth="1"/>
    <col min="7422" max="7422" width="18" style="66" bestFit="1" customWidth="1"/>
    <col min="7423" max="7424" width="11" style="66" bestFit="1" customWidth="1"/>
    <col min="7425" max="7425" width="40" style="66" bestFit="1" customWidth="1"/>
    <col min="7426" max="7426" width="28" style="66" bestFit="1" customWidth="1"/>
    <col min="7427" max="7427" width="13" style="66" bestFit="1" customWidth="1"/>
    <col min="7428" max="7428" width="30" style="66" bestFit="1" customWidth="1"/>
    <col min="7429" max="7673" width="9.140625" style="66"/>
    <col min="7674" max="7676" width="40" style="66" bestFit="1" customWidth="1"/>
    <col min="7677" max="7677" width="15" style="66" bestFit="1" customWidth="1"/>
    <col min="7678" max="7678" width="18" style="66" bestFit="1" customWidth="1"/>
    <col min="7679" max="7680" width="11" style="66" bestFit="1" customWidth="1"/>
    <col min="7681" max="7681" width="40" style="66" bestFit="1" customWidth="1"/>
    <col min="7682" max="7682" width="28" style="66" bestFit="1" customWidth="1"/>
    <col min="7683" max="7683" width="13" style="66" bestFit="1" customWidth="1"/>
    <col min="7684" max="7684" width="30" style="66" bestFit="1" customWidth="1"/>
    <col min="7685" max="7929" width="9.140625" style="66"/>
    <col min="7930" max="7932" width="40" style="66" bestFit="1" customWidth="1"/>
    <col min="7933" max="7933" width="15" style="66" bestFit="1" customWidth="1"/>
    <col min="7934" max="7934" width="18" style="66" bestFit="1" customWidth="1"/>
    <col min="7935" max="7936" width="11" style="66" bestFit="1" customWidth="1"/>
    <col min="7937" max="7937" width="40" style="66" bestFit="1" customWidth="1"/>
    <col min="7938" max="7938" width="28" style="66" bestFit="1" customWidth="1"/>
    <col min="7939" max="7939" width="13" style="66" bestFit="1" customWidth="1"/>
    <col min="7940" max="7940" width="30" style="66" bestFit="1" customWidth="1"/>
    <col min="7941" max="8185" width="9.140625" style="66"/>
    <col min="8186" max="8188" width="40" style="66" bestFit="1" customWidth="1"/>
    <col min="8189" max="8189" width="15" style="66" bestFit="1" customWidth="1"/>
    <col min="8190" max="8190" width="18" style="66" bestFit="1" customWidth="1"/>
    <col min="8191" max="8192" width="11" style="66" bestFit="1" customWidth="1"/>
    <col min="8193" max="8193" width="40" style="66" bestFit="1" customWidth="1"/>
    <col min="8194" max="8194" width="28" style="66" bestFit="1" customWidth="1"/>
    <col min="8195" max="8195" width="13" style="66" bestFit="1" customWidth="1"/>
    <col min="8196" max="8196" width="30" style="66" bestFit="1" customWidth="1"/>
    <col min="8197" max="8441" width="9.140625" style="66"/>
    <col min="8442" max="8444" width="40" style="66" bestFit="1" customWidth="1"/>
    <col min="8445" max="8445" width="15" style="66" bestFit="1" customWidth="1"/>
    <col min="8446" max="8446" width="18" style="66" bestFit="1" customWidth="1"/>
    <col min="8447" max="8448" width="11" style="66" bestFit="1" customWidth="1"/>
    <col min="8449" max="8449" width="40" style="66" bestFit="1" customWidth="1"/>
    <col min="8450" max="8450" width="28" style="66" bestFit="1" customWidth="1"/>
    <col min="8451" max="8451" width="13" style="66" bestFit="1" customWidth="1"/>
    <col min="8452" max="8452" width="30" style="66" bestFit="1" customWidth="1"/>
    <col min="8453" max="8697" width="9.140625" style="66"/>
    <col min="8698" max="8700" width="40" style="66" bestFit="1" customWidth="1"/>
    <col min="8701" max="8701" width="15" style="66" bestFit="1" customWidth="1"/>
    <col min="8702" max="8702" width="18" style="66" bestFit="1" customWidth="1"/>
    <col min="8703" max="8704" width="11" style="66" bestFit="1" customWidth="1"/>
    <col min="8705" max="8705" width="40" style="66" bestFit="1" customWidth="1"/>
    <col min="8706" max="8706" width="28" style="66" bestFit="1" customWidth="1"/>
    <col min="8707" max="8707" width="13" style="66" bestFit="1" customWidth="1"/>
    <col min="8708" max="8708" width="30" style="66" bestFit="1" customWidth="1"/>
    <col min="8709" max="8953" width="9.140625" style="66"/>
    <col min="8954" max="8956" width="40" style="66" bestFit="1" customWidth="1"/>
    <col min="8957" max="8957" width="15" style="66" bestFit="1" customWidth="1"/>
    <col min="8958" max="8958" width="18" style="66" bestFit="1" customWidth="1"/>
    <col min="8959" max="8960" width="11" style="66" bestFit="1" customWidth="1"/>
    <col min="8961" max="8961" width="40" style="66" bestFit="1" customWidth="1"/>
    <col min="8962" max="8962" width="28" style="66" bestFit="1" customWidth="1"/>
    <col min="8963" max="8963" width="13" style="66" bestFit="1" customWidth="1"/>
    <col min="8964" max="8964" width="30" style="66" bestFit="1" customWidth="1"/>
    <col min="8965" max="9209" width="9.140625" style="66"/>
    <col min="9210" max="9212" width="40" style="66" bestFit="1" customWidth="1"/>
    <col min="9213" max="9213" width="15" style="66" bestFit="1" customWidth="1"/>
    <col min="9214" max="9214" width="18" style="66" bestFit="1" customWidth="1"/>
    <col min="9215" max="9216" width="11" style="66" bestFit="1" customWidth="1"/>
    <col min="9217" max="9217" width="40" style="66" bestFit="1" customWidth="1"/>
    <col min="9218" max="9218" width="28" style="66" bestFit="1" customWidth="1"/>
    <col min="9219" max="9219" width="13" style="66" bestFit="1" customWidth="1"/>
    <col min="9220" max="9220" width="30" style="66" bestFit="1" customWidth="1"/>
    <col min="9221" max="9465" width="9.140625" style="66"/>
    <col min="9466" max="9468" width="40" style="66" bestFit="1" customWidth="1"/>
    <col min="9469" max="9469" width="15" style="66" bestFit="1" customWidth="1"/>
    <col min="9470" max="9470" width="18" style="66" bestFit="1" customWidth="1"/>
    <col min="9471" max="9472" width="11" style="66" bestFit="1" customWidth="1"/>
    <col min="9473" max="9473" width="40" style="66" bestFit="1" customWidth="1"/>
    <col min="9474" max="9474" width="28" style="66" bestFit="1" customWidth="1"/>
    <col min="9475" max="9475" width="13" style="66" bestFit="1" customWidth="1"/>
    <col min="9476" max="9476" width="30" style="66" bestFit="1" customWidth="1"/>
    <col min="9477" max="9721" width="9.140625" style="66"/>
    <col min="9722" max="9724" width="40" style="66" bestFit="1" customWidth="1"/>
    <col min="9725" max="9725" width="15" style="66" bestFit="1" customWidth="1"/>
    <col min="9726" max="9726" width="18" style="66" bestFit="1" customWidth="1"/>
    <col min="9727" max="9728" width="11" style="66" bestFit="1" customWidth="1"/>
    <col min="9729" max="9729" width="40" style="66" bestFit="1" customWidth="1"/>
    <col min="9730" max="9730" width="28" style="66" bestFit="1" customWidth="1"/>
    <col min="9731" max="9731" width="13" style="66" bestFit="1" customWidth="1"/>
    <col min="9732" max="9732" width="30" style="66" bestFit="1" customWidth="1"/>
    <col min="9733" max="9977" width="9.140625" style="66"/>
    <col min="9978" max="9980" width="40" style="66" bestFit="1" customWidth="1"/>
    <col min="9981" max="9981" width="15" style="66" bestFit="1" customWidth="1"/>
    <col min="9982" max="9982" width="18" style="66" bestFit="1" customWidth="1"/>
    <col min="9983" max="9984" width="11" style="66" bestFit="1" customWidth="1"/>
    <col min="9985" max="9985" width="40" style="66" bestFit="1" customWidth="1"/>
    <col min="9986" max="9986" width="28" style="66" bestFit="1" customWidth="1"/>
    <col min="9987" max="9987" width="13" style="66" bestFit="1" customWidth="1"/>
    <col min="9988" max="9988" width="30" style="66" bestFit="1" customWidth="1"/>
    <col min="9989" max="10233" width="9.140625" style="66"/>
    <col min="10234" max="10236" width="40" style="66" bestFit="1" customWidth="1"/>
    <col min="10237" max="10237" width="15" style="66" bestFit="1" customWidth="1"/>
    <col min="10238" max="10238" width="18" style="66" bestFit="1" customWidth="1"/>
    <col min="10239" max="10240" width="11" style="66" bestFit="1" customWidth="1"/>
    <col min="10241" max="10241" width="40" style="66" bestFit="1" customWidth="1"/>
    <col min="10242" max="10242" width="28" style="66" bestFit="1" customWidth="1"/>
    <col min="10243" max="10243" width="13" style="66" bestFit="1" customWidth="1"/>
    <col min="10244" max="10244" width="30" style="66" bestFit="1" customWidth="1"/>
    <col min="10245" max="10489" width="9.140625" style="66"/>
    <col min="10490" max="10492" width="40" style="66" bestFit="1" customWidth="1"/>
    <col min="10493" max="10493" width="15" style="66" bestFit="1" customWidth="1"/>
    <col min="10494" max="10494" width="18" style="66" bestFit="1" customWidth="1"/>
    <col min="10495" max="10496" width="11" style="66" bestFit="1" customWidth="1"/>
    <col min="10497" max="10497" width="40" style="66" bestFit="1" customWidth="1"/>
    <col min="10498" max="10498" width="28" style="66" bestFit="1" customWidth="1"/>
    <col min="10499" max="10499" width="13" style="66" bestFit="1" customWidth="1"/>
    <col min="10500" max="10500" width="30" style="66" bestFit="1" customWidth="1"/>
    <col min="10501" max="10745" width="9.140625" style="66"/>
    <col min="10746" max="10748" width="40" style="66" bestFit="1" customWidth="1"/>
    <col min="10749" max="10749" width="15" style="66" bestFit="1" customWidth="1"/>
    <col min="10750" max="10750" width="18" style="66" bestFit="1" customWidth="1"/>
    <col min="10751" max="10752" width="11" style="66" bestFit="1" customWidth="1"/>
    <col min="10753" max="10753" width="40" style="66" bestFit="1" customWidth="1"/>
    <col min="10754" max="10754" width="28" style="66" bestFit="1" customWidth="1"/>
    <col min="10755" max="10755" width="13" style="66" bestFit="1" customWidth="1"/>
    <col min="10756" max="10756" width="30" style="66" bestFit="1" customWidth="1"/>
    <col min="10757" max="11001" width="9.140625" style="66"/>
    <col min="11002" max="11004" width="40" style="66" bestFit="1" customWidth="1"/>
    <col min="11005" max="11005" width="15" style="66" bestFit="1" customWidth="1"/>
    <col min="11006" max="11006" width="18" style="66" bestFit="1" customWidth="1"/>
    <col min="11007" max="11008" width="11" style="66" bestFit="1" customWidth="1"/>
    <col min="11009" max="11009" width="40" style="66" bestFit="1" customWidth="1"/>
    <col min="11010" max="11010" width="28" style="66" bestFit="1" customWidth="1"/>
    <col min="11011" max="11011" width="13" style="66" bestFit="1" customWidth="1"/>
    <col min="11012" max="11012" width="30" style="66" bestFit="1" customWidth="1"/>
    <col min="11013" max="11257" width="9.140625" style="66"/>
    <col min="11258" max="11260" width="40" style="66" bestFit="1" customWidth="1"/>
    <col min="11261" max="11261" width="15" style="66" bestFit="1" customWidth="1"/>
    <col min="11262" max="11262" width="18" style="66" bestFit="1" customWidth="1"/>
    <col min="11263" max="11264" width="11" style="66" bestFit="1" customWidth="1"/>
    <col min="11265" max="11265" width="40" style="66" bestFit="1" customWidth="1"/>
    <col min="11266" max="11266" width="28" style="66" bestFit="1" customWidth="1"/>
    <col min="11267" max="11267" width="13" style="66" bestFit="1" customWidth="1"/>
    <col min="11268" max="11268" width="30" style="66" bestFit="1" customWidth="1"/>
    <col min="11269" max="11513" width="9.140625" style="66"/>
    <col min="11514" max="11516" width="40" style="66" bestFit="1" customWidth="1"/>
    <col min="11517" max="11517" width="15" style="66" bestFit="1" customWidth="1"/>
    <col min="11518" max="11518" width="18" style="66" bestFit="1" customWidth="1"/>
    <col min="11519" max="11520" width="11" style="66" bestFit="1" customWidth="1"/>
    <col min="11521" max="11521" width="40" style="66" bestFit="1" customWidth="1"/>
    <col min="11522" max="11522" width="28" style="66" bestFit="1" customWidth="1"/>
    <col min="11523" max="11523" width="13" style="66" bestFit="1" customWidth="1"/>
    <col min="11524" max="11524" width="30" style="66" bestFit="1" customWidth="1"/>
    <col min="11525" max="11769" width="9.140625" style="66"/>
    <col min="11770" max="11772" width="40" style="66" bestFit="1" customWidth="1"/>
    <col min="11773" max="11773" width="15" style="66" bestFit="1" customWidth="1"/>
    <col min="11774" max="11774" width="18" style="66" bestFit="1" customWidth="1"/>
    <col min="11775" max="11776" width="11" style="66" bestFit="1" customWidth="1"/>
    <col min="11777" max="11777" width="40" style="66" bestFit="1" customWidth="1"/>
    <col min="11778" max="11778" width="28" style="66" bestFit="1" customWidth="1"/>
    <col min="11779" max="11779" width="13" style="66" bestFit="1" customWidth="1"/>
    <col min="11780" max="11780" width="30" style="66" bestFit="1" customWidth="1"/>
    <col min="11781" max="12025" width="9.140625" style="66"/>
    <col min="12026" max="12028" width="40" style="66" bestFit="1" customWidth="1"/>
    <col min="12029" max="12029" width="15" style="66" bestFit="1" customWidth="1"/>
    <col min="12030" max="12030" width="18" style="66" bestFit="1" customWidth="1"/>
    <col min="12031" max="12032" width="11" style="66" bestFit="1" customWidth="1"/>
    <col min="12033" max="12033" width="40" style="66" bestFit="1" customWidth="1"/>
    <col min="12034" max="12034" width="28" style="66" bestFit="1" customWidth="1"/>
    <col min="12035" max="12035" width="13" style="66" bestFit="1" customWidth="1"/>
    <col min="12036" max="12036" width="30" style="66" bestFit="1" customWidth="1"/>
    <col min="12037" max="12281" width="9.140625" style="66"/>
    <col min="12282" max="12284" width="40" style="66" bestFit="1" customWidth="1"/>
    <col min="12285" max="12285" width="15" style="66" bestFit="1" customWidth="1"/>
    <col min="12286" max="12286" width="18" style="66" bestFit="1" customWidth="1"/>
    <col min="12287" max="12288" width="11" style="66" bestFit="1" customWidth="1"/>
    <col min="12289" max="12289" width="40" style="66" bestFit="1" customWidth="1"/>
    <col min="12290" max="12290" width="28" style="66" bestFit="1" customWidth="1"/>
    <col min="12291" max="12291" width="13" style="66" bestFit="1" customWidth="1"/>
    <col min="12292" max="12292" width="30" style="66" bestFit="1" customWidth="1"/>
    <col min="12293" max="12537" width="9.140625" style="66"/>
    <col min="12538" max="12540" width="40" style="66" bestFit="1" customWidth="1"/>
    <col min="12541" max="12541" width="15" style="66" bestFit="1" customWidth="1"/>
    <col min="12542" max="12542" width="18" style="66" bestFit="1" customWidth="1"/>
    <col min="12543" max="12544" width="11" style="66" bestFit="1" customWidth="1"/>
    <col min="12545" max="12545" width="40" style="66" bestFit="1" customWidth="1"/>
    <col min="12546" max="12546" width="28" style="66" bestFit="1" customWidth="1"/>
    <col min="12547" max="12547" width="13" style="66" bestFit="1" customWidth="1"/>
    <col min="12548" max="12548" width="30" style="66" bestFit="1" customWidth="1"/>
    <col min="12549" max="12793" width="9.140625" style="66"/>
    <col min="12794" max="12796" width="40" style="66" bestFit="1" customWidth="1"/>
    <col min="12797" max="12797" width="15" style="66" bestFit="1" customWidth="1"/>
    <col min="12798" max="12798" width="18" style="66" bestFit="1" customWidth="1"/>
    <col min="12799" max="12800" width="11" style="66" bestFit="1" customWidth="1"/>
    <col min="12801" max="12801" width="40" style="66" bestFit="1" customWidth="1"/>
    <col min="12802" max="12802" width="28" style="66" bestFit="1" customWidth="1"/>
    <col min="12803" max="12803" width="13" style="66" bestFit="1" customWidth="1"/>
    <col min="12804" max="12804" width="30" style="66" bestFit="1" customWidth="1"/>
    <col min="12805" max="13049" width="9.140625" style="66"/>
    <col min="13050" max="13052" width="40" style="66" bestFit="1" customWidth="1"/>
    <col min="13053" max="13053" width="15" style="66" bestFit="1" customWidth="1"/>
    <col min="13054" max="13054" width="18" style="66" bestFit="1" customWidth="1"/>
    <col min="13055" max="13056" width="11" style="66" bestFit="1" customWidth="1"/>
    <col min="13057" max="13057" width="40" style="66" bestFit="1" customWidth="1"/>
    <col min="13058" max="13058" width="28" style="66" bestFit="1" customWidth="1"/>
    <col min="13059" max="13059" width="13" style="66" bestFit="1" customWidth="1"/>
    <col min="13060" max="13060" width="30" style="66" bestFit="1" customWidth="1"/>
    <col min="13061" max="13305" width="9.140625" style="66"/>
    <col min="13306" max="13308" width="40" style="66" bestFit="1" customWidth="1"/>
    <col min="13309" max="13309" width="15" style="66" bestFit="1" customWidth="1"/>
    <col min="13310" max="13310" width="18" style="66" bestFit="1" customWidth="1"/>
    <col min="13311" max="13312" width="11" style="66" bestFit="1" customWidth="1"/>
    <col min="13313" max="13313" width="40" style="66" bestFit="1" customWidth="1"/>
    <col min="13314" max="13314" width="28" style="66" bestFit="1" customWidth="1"/>
    <col min="13315" max="13315" width="13" style="66" bestFit="1" customWidth="1"/>
    <col min="13316" max="13316" width="30" style="66" bestFit="1" customWidth="1"/>
    <col min="13317" max="13561" width="9.140625" style="66"/>
    <col min="13562" max="13564" width="40" style="66" bestFit="1" customWidth="1"/>
    <col min="13565" max="13565" width="15" style="66" bestFit="1" customWidth="1"/>
    <col min="13566" max="13566" width="18" style="66" bestFit="1" customWidth="1"/>
    <col min="13567" max="13568" width="11" style="66" bestFit="1" customWidth="1"/>
    <col min="13569" max="13569" width="40" style="66" bestFit="1" customWidth="1"/>
    <col min="13570" max="13570" width="28" style="66" bestFit="1" customWidth="1"/>
    <col min="13571" max="13571" width="13" style="66" bestFit="1" customWidth="1"/>
    <col min="13572" max="13572" width="30" style="66" bestFit="1" customWidth="1"/>
    <col min="13573" max="13817" width="9.140625" style="66"/>
    <col min="13818" max="13820" width="40" style="66" bestFit="1" customWidth="1"/>
    <col min="13821" max="13821" width="15" style="66" bestFit="1" customWidth="1"/>
    <col min="13822" max="13822" width="18" style="66" bestFit="1" customWidth="1"/>
    <col min="13823" max="13824" width="11" style="66" bestFit="1" customWidth="1"/>
    <col min="13825" max="13825" width="40" style="66" bestFit="1" customWidth="1"/>
    <col min="13826" max="13826" width="28" style="66" bestFit="1" customWidth="1"/>
    <col min="13827" max="13827" width="13" style="66" bestFit="1" customWidth="1"/>
    <col min="13828" max="13828" width="30" style="66" bestFit="1" customWidth="1"/>
    <col min="13829" max="14073" width="9.140625" style="66"/>
    <col min="14074" max="14076" width="40" style="66" bestFit="1" customWidth="1"/>
    <col min="14077" max="14077" width="15" style="66" bestFit="1" customWidth="1"/>
    <col min="14078" max="14078" width="18" style="66" bestFit="1" customWidth="1"/>
    <col min="14079" max="14080" width="11" style="66" bestFit="1" customWidth="1"/>
    <col min="14081" max="14081" width="40" style="66" bestFit="1" customWidth="1"/>
    <col min="14082" max="14082" width="28" style="66" bestFit="1" customWidth="1"/>
    <col min="14083" max="14083" width="13" style="66" bestFit="1" customWidth="1"/>
    <col min="14084" max="14084" width="30" style="66" bestFit="1" customWidth="1"/>
    <col min="14085" max="14329" width="9.140625" style="66"/>
    <col min="14330" max="14332" width="40" style="66" bestFit="1" customWidth="1"/>
    <col min="14333" max="14333" width="15" style="66" bestFit="1" customWidth="1"/>
    <col min="14334" max="14334" width="18" style="66" bestFit="1" customWidth="1"/>
    <col min="14335" max="14336" width="11" style="66" bestFit="1" customWidth="1"/>
    <col min="14337" max="14337" width="40" style="66" bestFit="1" customWidth="1"/>
    <col min="14338" max="14338" width="28" style="66" bestFit="1" customWidth="1"/>
    <col min="14339" max="14339" width="13" style="66" bestFit="1" customWidth="1"/>
    <col min="14340" max="14340" width="30" style="66" bestFit="1" customWidth="1"/>
    <col min="14341" max="14585" width="9.140625" style="66"/>
    <col min="14586" max="14588" width="40" style="66" bestFit="1" customWidth="1"/>
    <col min="14589" max="14589" width="15" style="66" bestFit="1" customWidth="1"/>
    <col min="14590" max="14590" width="18" style="66" bestFit="1" customWidth="1"/>
    <col min="14591" max="14592" width="11" style="66" bestFit="1" customWidth="1"/>
    <col min="14593" max="14593" width="40" style="66" bestFit="1" customWidth="1"/>
    <col min="14594" max="14594" width="28" style="66" bestFit="1" customWidth="1"/>
    <col min="14595" max="14595" width="13" style="66" bestFit="1" customWidth="1"/>
    <col min="14596" max="14596" width="30" style="66" bestFit="1" customWidth="1"/>
    <col min="14597" max="14841" width="9.140625" style="66"/>
    <col min="14842" max="14844" width="40" style="66" bestFit="1" customWidth="1"/>
    <col min="14845" max="14845" width="15" style="66" bestFit="1" customWidth="1"/>
    <col min="14846" max="14846" width="18" style="66" bestFit="1" customWidth="1"/>
    <col min="14847" max="14848" width="11" style="66" bestFit="1" customWidth="1"/>
    <col min="14849" max="14849" width="40" style="66" bestFit="1" customWidth="1"/>
    <col min="14850" max="14850" width="28" style="66" bestFit="1" customWidth="1"/>
    <col min="14851" max="14851" width="13" style="66" bestFit="1" customWidth="1"/>
    <col min="14852" max="14852" width="30" style="66" bestFit="1" customWidth="1"/>
    <col min="14853" max="15097" width="9.140625" style="66"/>
    <col min="15098" max="15100" width="40" style="66" bestFit="1" customWidth="1"/>
    <col min="15101" max="15101" width="15" style="66" bestFit="1" customWidth="1"/>
    <col min="15102" max="15102" width="18" style="66" bestFit="1" customWidth="1"/>
    <col min="15103" max="15104" width="11" style="66" bestFit="1" customWidth="1"/>
    <col min="15105" max="15105" width="40" style="66" bestFit="1" customWidth="1"/>
    <col min="15106" max="15106" width="28" style="66" bestFit="1" customWidth="1"/>
    <col min="15107" max="15107" width="13" style="66" bestFit="1" customWidth="1"/>
    <col min="15108" max="15108" width="30" style="66" bestFit="1" customWidth="1"/>
    <col min="15109" max="15353" width="9.140625" style="66"/>
    <col min="15354" max="15356" width="40" style="66" bestFit="1" customWidth="1"/>
    <col min="15357" max="15357" width="15" style="66" bestFit="1" customWidth="1"/>
    <col min="15358" max="15358" width="18" style="66" bestFit="1" customWidth="1"/>
    <col min="15359" max="15360" width="11" style="66" bestFit="1" customWidth="1"/>
    <col min="15361" max="15361" width="40" style="66" bestFit="1" customWidth="1"/>
    <col min="15362" max="15362" width="28" style="66" bestFit="1" customWidth="1"/>
    <col min="15363" max="15363" width="13" style="66" bestFit="1" customWidth="1"/>
    <col min="15364" max="15364" width="30" style="66" bestFit="1" customWidth="1"/>
    <col min="15365" max="15609" width="9.140625" style="66"/>
    <col min="15610" max="15612" width="40" style="66" bestFit="1" customWidth="1"/>
    <col min="15613" max="15613" width="15" style="66" bestFit="1" customWidth="1"/>
    <col min="15614" max="15614" width="18" style="66" bestFit="1" customWidth="1"/>
    <col min="15615" max="15616" width="11" style="66" bestFit="1" customWidth="1"/>
    <col min="15617" max="15617" width="40" style="66" bestFit="1" customWidth="1"/>
    <col min="15618" max="15618" width="28" style="66" bestFit="1" customWidth="1"/>
    <col min="15619" max="15619" width="13" style="66" bestFit="1" customWidth="1"/>
    <col min="15620" max="15620" width="30" style="66" bestFit="1" customWidth="1"/>
    <col min="15621" max="15865" width="9.140625" style="66"/>
    <col min="15866" max="15868" width="40" style="66" bestFit="1" customWidth="1"/>
    <col min="15869" max="15869" width="15" style="66" bestFit="1" customWidth="1"/>
    <col min="15870" max="15870" width="18" style="66" bestFit="1" customWidth="1"/>
    <col min="15871" max="15872" width="11" style="66" bestFit="1" customWidth="1"/>
    <col min="15873" max="15873" width="40" style="66" bestFit="1" customWidth="1"/>
    <col min="15874" max="15874" width="28" style="66" bestFit="1" customWidth="1"/>
    <col min="15875" max="15875" width="13" style="66" bestFit="1" customWidth="1"/>
    <col min="15876" max="15876" width="30" style="66" bestFit="1" customWidth="1"/>
    <col min="15877" max="16121" width="9.140625" style="66"/>
    <col min="16122" max="16124" width="40" style="66" bestFit="1" customWidth="1"/>
    <col min="16125" max="16125" width="15" style="66" bestFit="1" customWidth="1"/>
    <col min="16126" max="16126" width="18" style="66" bestFit="1" customWidth="1"/>
    <col min="16127" max="16128" width="11" style="66" bestFit="1" customWidth="1"/>
    <col min="16129" max="16129" width="40" style="66" bestFit="1" customWidth="1"/>
    <col min="16130" max="16130" width="28" style="66" bestFit="1" customWidth="1"/>
    <col min="16131" max="16131" width="13" style="66" bestFit="1" customWidth="1"/>
    <col min="16132" max="16132" width="30" style="66" bestFit="1" customWidth="1"/>
    <col min="16133" max="16384" width="9.140625" style="66"/>
  </cols>
  <sheetData>
    <row r="1" spans="1:7" x14ac:dyDescent="0.2">
      <c r="A1" s="363"/>
      <c r="B1" s="363"/>
      <c r="C1" s="363"/>
      <c r="D1" s="363"/>
    </row>
    <row r="2" spans="1:7" x14ac:dyDescent="0.2">
      <c r="D2" s="156">
        <f>SUBTOTAL(9,D4:D64)</f>
        <v>90916811.299999982</v>
      </c>
      <c r="E2" s="86"/>
    </row>
    <row r="3" spans="1:7" s="73" customFormat="1" x14ac:dyDescent="0.2">
      <c r="A3" s="71" t="s">
        <v>150</v>
      </c>
      <c r="B3" s="71" t="s">
        <v>151</v>
      </c>
      <c r="C3" s="82" t="s">
        <v>152</v>
      </c>
      <c r="D3" s="70" t="s">
        <v>153</v>
      </c>
      <c r="E3" s="74" t="s">
        <v>238</v>
      </c>
      <c r="F3" s="74" t="s">
        <v>122</v>
      </c>
      <c r="G3" s="74" t="s">
        <v>239</v>
      </c>
    </row>
    <row r="4" spans="1:7" x14ac:dyDescent="0.2">
      <c r="A4" s="294" t="s">
        <v>154</v>
      </c>
      <c r="B4" s="294" t="s">
        <v>110</v>
      </c>
      <c r="C4" s="295" t="s">
        <v>155</v>
      </c>
      <c r="D4" s="298">
        <v>84</v>
      </c>
      <c r="E4" s="236" t="s">
        <v>237</v>
      </c>
      <c r="F4" s="235" t="s">
        <v>95</v>
      </c>
      <c r="G4" s="236"/>
    </row>
    <row r="5" spans="1:7" x14ac:dyDescent="0.2">
      <c r="A5" s="294" t="s">
        <v>156</v>
      </c>
      <c r="B5" s="294" t="s">
        <v>157</v>
      </c>
      <c r="C5" s="295" t="s">
        <v>155</v>
      </c>
      <c r="D5" s="298">
        <v>333.78</v>
      </c>
      <c r="E5" s="236" t="s">
        <v>240</v>
      </c>
      <c r="F5" s="235"/>
      <c r="G5" s="236"/>
    </row>
    <row r="6" spans="1:7" x14ac:dyDescent="0.2">
      <c r="A6" s="294" t="s">
        <v>158</v>
      </c>
      <c r="B6" s="294" t="s">
        <v>159</v>
      </c>
      <c r="C6" s="295" t="s">
        <v>155</v>
      </c>
      <c r="D6" s="298">
        <v>333.78</v>
      </c>
      <c r="E6" s="236" t="s">
        <v>240</v>
      </c>
      <c r="F6" s="235"/>
      <c r="G6" s="236"/>
    </row>
    <row r="7" spans="1:7" x14ac:dyDescent="0.2">
      <c r="A7" s="294" t="s">
        <v>160</v>
      </c>
      <c r="B7" s="294" t="s">
        <v>161</v>
      </c>
      <c r="C7" s="295" t="s">
        <v>155</v>
      </c>
      <c r="D7" s="298">
        <v>21025.56</v>
      </c>
      <c r="E7" s="236" t="s">
        <v>240</v>
      </c>
      <c r="F7" s="235"/>
      <c r="G7" s="236"/>
    </row>
    <row r="8" spans="1:7" x14ac:dyDescent="0.2">
      <c r="A8" s="294" t="s">
        <v>162</v>
      </c>
      <c r="B8" s="294" t="s">
        <v>163</v>
      </c>
      <c r="C8" s="295" t="s">
        <v>155</v>
      </c>
      <c r="D8" s="298">
        <v>265580.96999999997</v>
      </c>
      <c r="E8" s="236" t="s">
        <v>241</v>
      </c>
      <c r="F8" s="235"/>
      <c r="G8" s="236"/>
    </row>
    <row r="9" spans="1:7" x14ac:dyDescent="0.2">
      <c r="A9" s="294" t="s">
        <v>164</v>
      </c>
      <c r="B9" s="294" t="s">
        <v>138</v>
      </c>
      <c r="C9" s="295" t="s">
        <v>155</v>
      </c>
      <c r="D9" s="298">
        <v>496593.96</v>
      </c>
      <c r="E9" s="236" t="s">
        <v>237</v>
      </c>
      <c r="F9" s="235" t="s">
        <v>137</v>
      </c>
      <c r="G9" s="236"/>
    </row>
    <row r="10" spans="1:7" x14ac:dyDescent="0.2">
      <c r="A10" s="294" t="s">
        <v>165</v>
      </c>
      <c r="B10" s="294" t="s">
        <v>166</v>
      </c>
      <c r="C10" s="295" t="s">
        <v>155</v>
      </c>
      <c r="D10" s="298">
        <v>10505936.99</v>
      </c>
      <c r="E10" s="236" t="s">
        <v>241</v>
      </c>
      <c r="F10" s="235"/>
      <c r="G10" s="236"/>
    </row>
    <row r="11" spans="1:7" x14ac:dyDescent="0.2">
      <c r="A11" s="294" t="s">
        <v>167</v>
      </c>
      <c r="B11" s="294" t="s">
        <v>96</v>
      </c>
      <c r="C11" s="295" t="s">
        <v>155</v>
      </c>
      <c r="D11" s="298">
        <v>3384838.67</v>
      </c>
      <c r="E11" s="236" t="s">
        <v>237</v>
      </c>
      <c r="F11" s="299" t="s">
        <v>95</v>
      </c>
      <c r="G11" s="236"/>
    </row>
    <row r="12" spans="1:7" x14ac:dyDescent="0.2">
      <c r="A12" s="294" t="s">
        <v>168</v>
      </c>
      <c r="B12" s="294" t="s">
        <v>97</v>
      </c>
      <c r="C12" s="295" t="s">
        <v>155</v>
      </c>
      <c r="D12" s="298">
        <v>8576713.2699999996</v>
      </c>
      <c r="E12" s="236" t="s">
        <v>237</v>
      </c>
      <c r="F12" s="299" t="s">
        <v>95</v>
      </c>
      <c r="G12" s="236"/>
    </row>
    <row r="13" spans="1:7" x14ac:dyDescent="0.2">
      <c r="A13" s="294" t="s">
        <v>169</v>
      </c>
      <c r="B13" s="294" t="s">
        <v>98</v>
      </c>
      <c r="C13" s="295" t="s">
        <v>155</v>
      </c>
      <c r="D13" s="298">
        <v>19.579999999999998</v>
      </c>
      <c r="E13" s="236" t="s">
        <v>237</v>
      </c>
      <c r="F13" s="299" t="s">
        <v>95</v>
      </c>
      <c r="G13" s="236"/>
    </row>
    <row r="14" spans="1:7" x14ac:dyDescent="0.2">
      <c r="A14" s="294" t="s">
        <v>170</v>
      </c>
      <c r="B14" s="294" t="s">
        <v>99</v>
      </c>
      <c r="C14" s="295" t="s">
        <v>155</v>
      </c>
      <c r="D14" s="298">
        <v>196</v>
      </c>
      <c r="E14" s="236" t="s">
        <v>237</v>
      </c>
      <c r="F14" s="299" t="s">
        <v>95</v>
      </c>
      <c r="G14" s="236"/>
    </row>
    <row r="15" spans="1:7" x14ac:dyDescent="0.2">
      <c r="A15" s="294" t="s">
        <v>171</v>
      </c>
      <c r="B15" s="294" t="s">
        <v>100</v>
      </c>
      <c r="C15" s="295" t="s">
        <v>155</v>
      </c>
      <c r="D15" s="298">
        <v>93</v>
      </c>
      <c r="E15" s="236" t="s">
        <v>237</v>
      </c>
      <c r="F15" s="299" t="s">
        <v>95</v>
      </c>
      <c r="G15" s="236"/>
    </row>
    <row r="16" spans="1:7" x14ac:dyDescent="0.2">
      <c r="A16" s="294" t="s">
        <v>172</v>
      </c>
      <c r="B16" s="294" t="s">
        <v>101</v>
      </c>
      <c r="C16" s="295" t="s">
        <v>155</v>
      </c>
      <c r="D16" s="298">
        <v>21000.86</v>
      </c>
      <c r="E16" s="236" t="s">
        <v>237</v>
      </c>
      <c r="F16" s="299" t="s">
        <v>95</v>
      </c>
      <c r="G16" s="236"/>
    </row>
    <row r="17" spans="1:7" x14ac:dyDescent="0.2">
      <c r="A17" s="294" t="s">
        <v>173</v>
      </c>
      <c r="B17" s="294" t="s">
        <v>123</v>
      </c>
      <c r="C17" s="295" t="s">
        <v>155</v>
      </c>
      <c r="D17" s="298">
        <v>229</v>
      </c>
      <c r="E17" s="236" t="s">
        <v>237</v>
      </c>
      <c r="F17" s="235" t="s">
        <v>127</v>
      </c>
      <c r="G17" s="236"/>
    </row>
    <row r="18" spans="1:7" x14ac:dyDescent="0.2">
      <c r="A18" s="294" t="s">
        <v>174</v>
      </c>
      <c r="B18" s="294" t="s">
        <v>102</v>
      </c>
      <c r="C18" s="295" t="s">
        <v>155</v>
      </c>
      <c r="D18" s="298">
        <v>210</v>
      </c>
      <c r="E18" s="236" t="s">
        <v>237</v>
      </c>
      <c r="F18" s="299" t="s">
        <v>95</v>
      </c>
      <c r="G18" s="236"/>
    </row>
    <row r="19" spans="1:7" x14ac:dyDescent="0.2">
      <c r="A19" s="294" t="s">
        <v>175</v>
      </c>
      <c r="B19" s="294" t="s">
        <v>103</v>
      </c>
      <c r="C19" s="295" t="s">
        <v>155</v>
      </c>
      <c r="D19" s="298">
        <v>9804.94</v>
      </c>
      <c r="E19" s="236" t="s">
        <v>237</v>
      </c>
      <c r="F19" s="299" t="s">
        <v>95</v>
      </c>
      <c r="G19" s="236"/>
    </row>
    <row r="20" spans="1:7" x14ac:dyDescent="0.2">
      <c r="A20" s="294" t="s">
        <v>176</v>
      </c>
      <c r="B20" s="294" t="s">
        <v>104</v>
      </c>
      <c r="C20" s="295" t="s">
        <v>155</v>
      </c>
      <c r="D20" s="298">
        <v>1224.56</v>
      </c>
      <c r="E20" s="236" t="s">
        <v>237</v>
      </c>
      <c r="F20" s="299" t="s">
        <v>95</v>
      </c>
      <c r="G20" s="236"/>
    </row>
    <row r="21" spans="1:7" x14ac:dyDescent="0.2">
      <c r="A21" s="294" t="s">
        <v>177</v>
      </c>
      <c r="B21" s="294" t="s">
        <v>105</v>
      </c>
      <c r="C21" s="295" t="s">
        <v>155</v>
      </c>
      <c r="D21" s="298">
        <v>710726.23</v>
      </c>
      <c r="E21" s="236" t="s">
        <v>237</v>
      </c>
      <c r="F21" s="299" t="s">
        <v>95</v>
      </c>
      <c r="G21" s="236"/>
    </row>
    <row r="22" spans="1:7" x14ac:dyDescent="0.2">
      <c r="A22" s="294" t="s">
        <v>178</v>
      </c>
      <c r="B22" s="294" t="s">
        <v>124</v>
      </c>
      <c r="C22" s="295" t="s">
        <v>155</v>
      </c>
      <c r="D22" s="298">
        <v>327604.14</v>
      </c>
      <c r="E22" s="236" t="s">
        <v>237</v>
      </c>
      <c r="F22" s="235" t="s">
        <v>127</v>
      </c>
      <c r="G22" s="236"/>
    </row>
    <row r="23" spans="1:7" x14ac:dyDescent="0.2">
      <c r="A23" s="294" t="s">
        <v>179</v>
      </c>
      <c r="B23" s="294" t="s">
        <v>106</v>
      </c>
      <c r="C23" s="295" t="s">
        <v>155</v>
      </c>
      <c r="D23" s="298">
        <v>50314.080000000002</v>
      </c>
      <c r="E23" s="236" t="s">
        <v>237</v>
      </c>
      <c r="F23" s="299" t="s">
        <v>95</v>
      </c>
      <c r="G23" s="236"/>
    </row>
    <row r="24" spans="1:7" x14ac:dyDescent="0.2">
      <c r="A24" s="294" t="s">
        <v>180</v>
      </c>
      <c r="B24" s="294" t="s">
        <v>107</v>
      </c>
      <c r="C24" s="295" t="s">
        <v>155</v>
      </c>
      <c r="D24" s="298">
        <v>327.45</v>
      </c>
      <c r="E24" s="236" t="s">
        <v>237</v>
      </c>
      <c r="F24" s="299" t="s">
        <v>95</v>
      </c>
      <c r="G24" s="236"/>
    </row>
    <row r="25" spans="1:7" x14ac:dyDescent="0.2">
      <c r="A25" s="294" t="s">
        <v>181</v>
      </c>
      <c r="B25" s="294" t="s">
        <v>108</v>
      </c>
      <c r="C25" s="295" t="s">
        <v>155</v>
      </c>
      <c r="D25" s="298">
        <v>386968.83</v>
      </c>
      <c r="E25" s="236" t="s">
        <v>237</v>
      </c>
      <c r="F25" s="299" t="s">
        <v>95</v>
      </c>
      <c r="G25" s="236"/>
    </row>
    <row r="26" spans="1:7" x14ac:dyDescent="0.2">
      <c r="A26" s="294" t="s">
        <v>182</v>
      </c>
      <c r="B26" s="294" t="s">
        <v>109</v>
      </c>
      <c r="C26" s="295" t="s">
        <v>155</v>
      </c>
      <c r="D26" s="298">
        <v>713.2</v>
      </c>
      <c r="E26" s="236" t="s">
        <v>237</v>
      </c>
      <c r="F26" s="299" t="s">
        <v>95</v>
      </c>
      <c r="G26" s="236"/>
    </row>
    <row r="27" spans="1:7" x14ac:dyDescent="0.2">
      <c r="A27" s="294" t="s">
        <v>183</v>
      </c>
      <c r="B27" s="294" t="s">
        <v>111</v>
      </c>
      <c r="C27" s="295" t="s">
        <v>155</v>
      </c>
      <c r="D27" s="298">
        <v>4501.58</v>
      </c>
      <c r="E27" s="236" t="s">
        <v>237</v>
      </c>
      <c r="F27" s="299" t="s">
        <v>95</v>
      </c>
      <c r="G27" s="236"/>
    </row>
    <row r="28" spans="1:7" x14ac:dyDescent="0.2">
      <c r="A28" s="294" t="s">
        <v>184</v>
      </c>
      <c r="B28" s="294" t="s">
        <v>125</v>
      </c>
      <c r="C28" s="295" t="s">
        <v>155</v>
      </c>
      <c r="D28" s="298">
        <v>3139248.72</v>
      </c>
      <c r="E28" s="236" t="s">
        <v>237</v>
      </c>
      <c r="F28" s="235" t="s">
        <v>127</v>
      </c>
      <c r="G28" s="236"/>
    </row>
    <row r="29" spans="1:7" x14ac:dyDescent="0.2">
      <c r="A29" s="294" t="s">
        <v>185</v>
      </c>
      <c r="B29" s="294" t="s">
        <v>112</v>
      </c>
      <c r="C29" s="295" t="s">
        <v>155</v>
      </c>
      <c r="D29" s="298">
        <v>75690.62</v>
      </c>
      <c r="E29" s="236" t="s">
        <v>237</v>
      </c>
      <c r="F29" s="299" t="s">
        <v>95</v>
      </c>
      <c r="G29" s="236"/>
    </row>
    <row r="30" spans="1:7" x14ac:dyDescent="0.2">
      <c r="A30" s="294" t="s">
        <v>186</v>
      </c>
      <c r="B30" s="294" t="s">
        <v>126</v>
      </c>
      <c r="C30" s="295" t="s">
        <v>155</v>
      </c>
      <c r="D30" s="298">
        <v>26538.12</v>
      </c>
      <c r="E30" s="236" t="s">
        <v>237</v>
      </c>
      <c r="F30" s="235" t="s">
        <v>127</v>
      </c>
      <c r="G30" s="236"/>
    </row>
    <row r="31" spans="1:7" x14ac:dyDescent="0.2">
      <c r="A31" s="294" t="s">
        <v>187</v>
      </c>
      <c r="B31" s="294" t="s">
        <v>113</v>
      </c>
      <c r="C31" s="295" t="s">
        <v>155</v>
      </c>
      <c r="D31" s="298">
        <v>2267.14</v>
      </c>
      <c r="E31" s="236" t="s">
        <v>237</v>
      </c>
      <c r="F31" s="299" t="s">
        <v>95</v>
      </c>
      <c r="G31" s="236"/>
    </row>
    <row r="32" spans="1:7" x14ac:dyDescent="0.2">
      <c r="A32" s="77" t="s">
        <v>188</v>
      </c>
      <c r="B32" s="77" t="s">
        <v>114</v>
      </c>
      <c r="C32" s="83" t="s">
        <v>155</v>
      </c>
      <c r="D32" s="78">
        <v>0</v>
      </c>
      <c r="E32" s="79" t="s">
        <v>237</v>
      </c>
      <c r="F32" s="80" t="s">
        <v>95</v>
      </c>
      <c r="G32" s="79" t="s">
        <v>121</v>
      </c>
    </row>
    <row r="33" spans="1:7" x14ac:dyDescent="0.2">
      <c r="A33" s="294" t="s">
        <v>189</v>
      </c>
      <c r="B33" s="294" t="s">
        <v>115</v>
      </c>
      <c r="C33" s="295" t="s">
        <v>155</v>
      </c>
      <c r="D33" s="298">
        <v>184954.83</v>
      </c>
      <c r="E33" s="236" t="s">
        <v>237</v>
      </c>
      <c r="F33" s="299" t="s">
        <v>95</v>
      </c>
      <c r="G33" s="236"/>
    </row>
    <row r="34" spans="1:7" x14ac:dyDescent="0.2">
      <c r="A34" s="294" t="s">
        <v>190</v>
      </c>
      <c r="B34" s="294" t="s">
        <v>116</v>
      </c>
      <c r="C34" s="295" t="s">
        <v>155</v>
      </c>
      <c r="D34" s="298">
        <v>13.09</v>
      </c>
      <c r="E34" s="236" t="s">
        <v>237</v>
      </c>
      <c r="F34" s="299" t="s">
        <v>95</v>
      </c>
      <c r="G34" s="236"/>
    </row>
    <row r="35" spans="1:7" x14ac:dyDescent="0.2">
      <c r="A35" s="294" t="s">
        <v>191</v>
      </c>
      <c r="B35" s="294" t="s">
        <v>117</v>
      </c>
      <c r="C35" s="295" t="s">
        <v>155</v>
      </c>
      <c r="D35" s="298">
        <v>478.49</v>
      </c>
      <c r="E35" s="236" t="s">
        <v>237</v>
      </c>
      <c r="F35" s="299" t="s">
        <v>95</v>
      </c>
      <c r="G35" s="236"/>
    </row>
    <row r="36" spans="1:7" x14ac:dyDescent="0.2">
      <c r="A36" s="294" t="s">
        <v>192</v>
      </c>
      <c r="B36" s="294" t="s">
        <v>118</v>
      </c>
      <c r="C36" s="295" t="s">
        <v>155</v>
      </c>
      <c r="D36" s="298">
        <v>320.23</v>
      </c>
      <c r="E36" s="236" t="s">
        <v>237</v>
      </c>
      <c r="F36" s="299" t="s">
        <v>95</v>
      </c>
      <c r="G36" s="236"/>
    </row>
    <row r="37" spans="1:7" x14ac:dyDescent="0.2">
      <c r="A37" s="294" t="s">
        <v>193</v>
      </c>
      <c r="B37" s="294" t="s">
        <v>119</v>
      </c>
      <c r="C37" s="295" t="s">
        <v>155</v>
      </c>
      <c r="D37" s="298">
        <v>87239</v>
      </c>
      <c r="E37" s="236" t="s">
        <v>237</v>
      </c>
      <c r="F37" s="299" t="s">
        <v>95</v>
      </c>
      <c r="G37" s="236"/>
    </row>
    <row r="38" spans="1:7" x14ac:dyDescent="0.2">
      <c r="A38" s="294" t="s">
        <v>194</v>
      </c>
      <c r="B38" s="294" t="s">
        <v>120</v>
      </c>
      <c r="C38" s="295" t="s">
        <v>155</v>
      </c>
      <c r="D38" s="298">
        <v>470.99</v>
      </c>
      <c r="E38" s="236" t="s">
        <v>237</v>
      </c>
      <c r="F38" s="299" t="s">
        <v>95</v>
      </c>
      <c r="G38" s="236"/>
    </row>
    <row r="39" spans="1:7" x14ac:dyDescent="0.2">
      <c r="A39" s="294" t="s">
        <v>195</v>
      </c>
      <c r="B39" s="294" t="s">
        <v>196</v>
      </c>
      <c r="C39" s="295" t="s">
        <v>155</v>
      </c>
      <c r="D39" s="298">
        <v>36251.68</v>
      </c>
      <c r="E39" s="236" t="s">
        <v>242</v>
      </c>
      <c r="F39" s="235"/>
      <c r="G39" s="236"/>
    </row>
    <row r="40" spans="1:7" x14ac:dyDescent="0.2">
      <c r="A40" s="294" t="s">
        <v>197</v>
      </c>
      <c r="B40" s="294" t="s">
        <v>143</v>
      </c>
      <c r="C40" s="295" t="s">
        <v>155</v>
      </c>
      <c r="D40" s="298">
        <v>333.78</v>
      </c>
      <c r="E40" s="236" t="s">
        <v>237</v>
      </c>
      <c r="F40" s="235" t="s">
        <v>142</v>
      </c>
      <c r="G40" s="236"/>
    </row>
    <row r="41" spans="1:7" x14ac:dyDescent="0.2">
      <c r="A41" s="294" t="s">
        <v>198</v>
      </c>
      <c r="B41" s="294" t="s">
        <v>199</v>
      </c>
      <c r="C41" s="295" t="s">
        <v>155</v>
      </c>
      <c r="D41" s="298">
        <v>856836.89</v>
      </c>
      <c r="E41" s="236" t="s">
        <v>242</v>
      </c>
      <c r="F41" s="235"/>
      <c r="G41" s="236"/>
    </row>
    <row r="42" spans="1:7" x14ac:dyDescent="0.2">
      <c r="A42" s="294" t="s">
        <v>200</v>
      </c>
      <c r="B42" s="294" t="s">
        <v>128</v>
      </c>
      <c r="C42" s="295" t="s">
        <v>155</v>
      </c>
      <c r="D42" s="298">
        <v>7619659.8899999997</v>
      </c>
      <c r="E42" s="236" t="s">
        <v>237</v>
      </c>
      <c r="F42" s="235" t="s">
        <v>136</v>
      </c>
      <c r="G42" s="236"/>
    </row>
    <row r="43" spans="1:7" x14ac:dyDescent="0.2">
      <c r="A43" s="294" t="s">
        <v>201</v>
      </c>
      <c r="B43" s="294" t="s">
        <v>129</v>
      </c>
      <c r="C43" s="295" t="s">
        <v>155</v>
      </c>
      <c r="D43" s="298">
        <v>20585.63</v>
      </c>
      <c r="E43" s="236" t="s">
        <v>237</v>
      </c>
      <c r="F43" s="235" t="s">
        <v>136</v>
      </c>
      <c r="G43" s="236"/>
    </row>
    <row r="44" spans="1:7" x14ac:dyDescent="0.2">
      <c r="A44" s="294" t="s">
        <v>202</v>
      </c>
      <c r="B44" s="294" t="s">
        <v>130</v>
      </c>
      <c r="C44" s="295" t="s">
        <v>155</v>
      </c>
      <c r="D44" s="298">
        <v>3742.61</v>
      </c>
      <c r="E44" s="236" t="s">
        <v>237</v>
      </c>
      <c r="F44" s="235" t="s">
        <v>136</v>
      </c>
      <c r="G44" s="236"/>
    </row>
    <row r="45" spans="1:7" x14ac:dyDescent="0.2">
      <c r="A45" s="294" t="s">
        <v>203</v>
      </c>
      <c r="B45" s="294" t="s">
        <v>131</v>
      </c>
      <c r="C45" s="295" t="s">
        <v>155</v>
      </c>
      <c r="D45" s="298">
        <v>2779824.17</v>
      </c>
      <c r="E45" s="236" t="s">
        <v>237</v>
      </c>
      <c r="F45" s="235" t="s">
        <v>136</v>
      </c>
      <c r="G45" s="236"/>
    </row>
    <row r="46" spans="1:7" x14ac:dyDescent="0.2">
      <c r="A46" s="294" t="s">
        <v>204</v>
      </c>
      <c r="B46" s="294" t="s">
        <v>132</v>
      </c>
      <c r="C46" s="295" t="s">
        <v>155</v>
      </c>
      <c r="D46" s="298">
        <v>5031863.5999999996</v>
      </c>
      <c r="E46" s="236" t="s">
        <v>237</v>
      </c>
      <c r="F46" s="235" t="s">
        <v>136</v>
      </c>
      <c r="G46" s="236"/>
    </row>
    <row r="47" spans="1:7" x14ac:dyDescent="0.2">
      <c r="A47" s="294" t="s">
        <v>205</v>
      </c>
      <c r="B47" s="294" t="s">
        <v>206</v>
      </c>
      <c r="C47" s="295" t="s">
        <v>155</v>
      </c>
      <c r="D47" s="298">
        <v>9102905.1699999999</v>
      </c>
      <c r="E47" s="236" t="s">
        <v>242</v>
      </c>
      <c r="F47" s="235"/>
      <c r="G47" s="236"/>
    </row>
    <row r="48" spans="1:7" x14ac:dyDescent="0.2">
      <c r="A48" s="294" t="s">
        <v>207</v>
      </c>
      <c r="B48" s="294" t="s">
        <v>133</v>
      </c>
      <c r="C48" s="295" t="s">
        <v>208</v>
      </c>
      <c r="D48" s="298">
        <v>52204.18</v>
      </c>
      <c r="E48" s="236" t="s">
        <v>237</v>
      </c>
      <c r="F48" s="235" t="s">
        <v>136</v>
      </c>
      <c r="G48" s="236"/>
    </row>
    <row r="49" spans="1:7" x14ac:dyDescent="0.2">
      <c r="A49" s="294" t="s">
        <v>209</v>
      </c>
      <c r="B49" s="294" t="s">
        <v>134</v>
      </c>
      <c r="C49" s="295" t="s">
        <v>208</v>
      </c>
      <c r="D49" s="298">
        <v>5220.42</v>
      </c>
      <c r="E49" s="236" t="s">
        <v>237</v>
      </c>
      <c r="F49" s="235" t="s">
        <v>136</v>
      </c>
      <c r="G49" s="236"/>
    </row>
    <row r="50" spans="1:7" x14ac:dyDescent="0.2">
      <c r="A50" s="294" t="s">
        <v>210</v>
      </c>
      <c r="B50" s="294" t="s">
        <v>211</v>
      </c>
      <c r="C50" s="295" t="s">
        <v>155</v>
      </c>
      <c r="D50" s="298">
        <v>18226.240000000002</v>
      </c>
      <c r="E50" s="236" t="s">
        <v>242</v>
      </c>
      <c r="F50" s="235"/>
      <c r="G50" s="236"/>
    </row>
    <row r="51" spans="1:7" x14ac:dyDescent="0.2">
      <c r="A51" s="294" t="s">
        <v>212</v>
      </c>
      <c r="B51" s="294" t="s">
        <v>213</v>
      </c>
      <c r="C51" s="295" t="s">
        <v>155</v>
      </c>
      <c r="D51" s="298">
        <v>2441664.4</v>
      </c>
      <c r="E51" s="236" t="s">
        <v>242</v>
      </c>
      <c r="F51" s="235"/>
      <c r="G51" s="236"/>
    </row>
    <row r="52" spans="1:7" x14ac:dyDescent="0.2">
      <c r="A52" s="294" t="s">
        <v>214</v>
      </c>
      <c r="B52" s="294" t="s">
        <v>135</v>
      </c>
      <c r="C52" s="295" t="s">
        <v>215</v>
      </c>
      <c r="D52" s="298">
        <v>2779824.17</v>
      </c>
      <c r="E52" s="236" t="s">
        <v>237</v>
      </c>
      <c r="F52" s="235" t="s">
        <v>136</v>
      </c>
      <c r="G52" s="236"/>
    </row>
    <row r="53" spans="1:7" x14ac:dyDescent="0.2">
      <c r="A53" s="294" t="s">
        <v>216</v>
      </c>
      <c r="B53" s="294" t="s">
        <v>140</v>
      </c>
      <c r="C53" s="295" t="s">
        <v>215</v>
      </c>
      <c r="D53" s="298">
        <v>2646092.92</v>
      </c>
      <c r="E53" s="236" t="s">
        <v>237</v>
      </c>
      <c r="F53" s="235" t="s">
        <v>137</v>
      </c>
      <c r="G53" s="236"/>
    </row>
    <row r="54" spans="1:7" x14ac:dyDescent="0.2">
      <c r="A54" s="294" t="s">
        <v>217</v>
      </c>
      <c r="B54" s="294" t="s">
        <v>218</v>
      </c>
      <c r="C54" s="295" t="s">
        <v>155</v>
      </c>
      <c r="D54" s="298">
        <v>2312741.66</v>
      </c>
      <c r="E54" s="236" t="s">
        <v>242</v>
      </c>
      <c r="F54" s="235"/>
      <c r="G54" s="236"/>
    </row>
    <row r="55" spans="1:7" x14ac:dyDescent="0.2">
      <c r="A55" s="294" t="s">
        <v>219</v>
      </c>
      <c r="B55" s="294" t="s">
        <v>220</v>
      </c>
      <c r="C55" s="295" t="s">
        <v>155</v>
      </c>
      <c r="D55" s="298">
        <v>4648412.84</v>
      </c>
      <c r="E55" s="236" t="s">
        <v>242</v>
      </c>
      <c r="F55" s="235"/>
      <c r="G55" s="236"/>
    </row>
    <row r="56" spans="1:7" x14ac:dyDescent="0.2">
      <c r="A56" s="294" t="s">
        <v>221</v>
      </c>
      <c r="B56" s="294" t="s">
        <v>222</v>
      </c>
      <c r="C56" s="295" t="s">
        <v>155</v>
      </c>
      <c r="D56" s="298">
        <v>1234018.57</v>
      </c>
      <c r="E56" s="236" t="s">
        <v>241</v>
      </c>
      <c r="F56" s="235"/>
      <c r="G56" s="236"/>
    </row>
    <row r="57" spans="1:7" x14ac:dyDescent="0.2">
      <c r="A57" s="294" t="s">
        <v>223</v>
      </c>
      <c r="B57" s="294" t="s">
        <v>139</v>
      </c>
      <c r="C57" s="295" t="s">
        <v>215</v>
      </c>
      <c r="D57" s="298">
        <v>597619.07999999996</v>
      </c>
      <c r="E57" s="236" t="s">
        <v>237</v>
      </c>
      <c r="F57" s="235" t="s">
        <v>137</v>
      </c>
      <c r="G57" s="236"/>
    </row>
    <row r="58" spans="1:7" x14ac:dyDescent="0.2">
      <c r="A58" s="294" t="s">
        <v>224</v>
      </c>
      <c r="B58" s="294" t="s">
        <v>225</v>
      </c>
      <c r="C58" s="295" t="s">
        <v>155</v>
      </c>
      <c r="D58" s="298">
        <v>13908636.970000001</v>
      </c>
      <c r="E58" s="236" t="s">
        <v>242</v>
      </c>
      <c r="F58" s="235"/>
      <c r="G58" s="236"/>
    </row>
    <row r="59" spans="1:7" x14ac:dyDescent="0.2">
      <c r="A59" s="294" t="s">
        <v>226</v>
      </c>
      <c r="B59" s="294" t="s">
        <v>227</v>
      </c>
      <c r="C59" s="295" t="s">
        <v>155</v>
      </c>
      <c r="D59" s="298">
        <v>3692339.07</v>
      </c>
      <c r="E59" s="236" t="s">
        <v>241</v>
      </c>
      <c r="F59" s="235"/>
      <c r="G59" s="236"/>
    </row>
    <row r="60" spans="1:7" x14ac:dyDescent="0.2">
      <c r="A60" s="294" t="s">
        <v>228</v>
      </c>
      <c r="B60" s="294" t="s">
        <v>229</v>
      </c>
      <c r="C60" s="295" t="s">
        <v>208</v>
      </c>
      <c r="D60" s="298">
        <v>52794.41</v>
      </c>
      <c r="E60" s="236" t="s">
        <v>240</v>
      </c>
      <c r="F60" s="235"/>
      <c r="G60" s="236"/>
    </row>
    <row r="61" spans="1:7" x14ac:dyDescent="0.2">
      <c r="A61" s="294" t="s">
        <v>230</v>
      </c>
      <c r="B61" s="294" t="s">
        <v>231</v>
      </c>
      <c r="C61" s="295" t="s">
        <v>208</v>
      </c>
      <c r="D61" s="298">
        <v>5279.44</v>
      </c>
      <c r="E61" s="236" t="s">
        <v>240</v>
      </c>
      <c r="F61" s="235"/>
      <c r="G61" s="236"/>
    </row>
    <row r="62" spans="1:7" x14ac:dyDescent="0.2">
      <c r="A62" s="294" t="s">
        <v>232</v>
      </c>
      <c r="B62" s="294" t="s">
        <v>233</v>
      </c>
      <c r="C62" s="295" t="s">
        <v>155</v>
      </c>
      <c r="D62" s="298">
        <v>7811.25</v>
      </c>
      <c r="E62" s="236" t="s">
        <v>242</v>
      </c>
      <c r="F62" s="235"/>
      <c r="G62" s="236"/>
    </row>
    <row r="63" spans="1:7" x14ac:dyDescent="0.2">
      <c r="A63" s="294" t="s">
        <v>234</v>
      </c>
      <c r="B63" s="294" t="s">
        <v>141</v>
      </c>
      <c r="C63" s="295" t="s">
        <v>215</v>
      </c>
      <c r="D63" s="298">
        <v>1788151.6</v>
      </c>
      <c r="E63" s="236" t="s">
        <v>237</v>
      </c>
      <c r="F63" s="235" t="s">
        <v>137</v>
      </c>
      <c r="G63" s="236"/>
    </row>
    <row r="64" spans="1:7" x14ac:dyDescent="0.2">
      <c r="A64" s="294" t="s">
        <v>235</v>
      </c>
      <c r="B64" s="294" t="s">
        <v>236</v>
      </c>
      <c r="C64" s="295" t="s">
        <v>155</v>
      </c>
      <c r="D64" s="298">
        <v>991175</v>
      </c>
      <c r="E64" s="236" t="s">
        <v>242</v>
      </c>
      <c r="F64" s="235"/>
      <c r="G64" s="236"/>
    </row>
    <row r="65" spans="1:7" x14ac:dyDescent="0.2">
      <c r="A65" s="75"/>
      <c r="B65" s="75"/>
      <c r="C65" s="84"/>
      <c r="D65" s="76">
        <v>90916811.299999997</v>
      </c>
      <c r="E65" s="67"/>
      <c r="F65" s="68"/>
      <c r="G65" s="67"/>
    </row>
    <row r="66" spans="1:7" x14ac:dyDescent="0.2">
      <c r="A66" s="363"/>
      <c r="B66" s="363"/>
      <c r="C66" s="363"/>
      <c r="D66" s="363"/>
    </row>
    <row r="67" spans="1:7" x14ac:dyDescent="0.2">
      <c r="A67" s="363"/>
      <c r="B67" s="363"/>
      <c r="C67" s="363"/>
      <c r="D67" s="363"/>
    </row>
    <row r="68" spans="1:7" x14ac:dyDescent="0.2">
      <c r="A68" s="363"/>
      <c r="B68" s="363"/>
      <c r="C68" s="363"/>
      <c r="D68" s="363"/>
    </row>
  </sheetData>
  <autoFilter ref="A3:G65" xr:uid="{A534B386-6AD7-4C5C-AD10-1B44D04B774D}"/>
  <mergeCells count="4">
    <mergeCell ref="A66:D66"/>
    <mergeCell ref="A67:D67"/>
    <mergeCell ref="A68:D68"/>
    <mergeCell ref="A1:D1"/>
  </mergeCells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  <ignoredErrors>
    <ignoredError sqref="D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FB9F-92F2-4BEF-A63E-BEC4A1DDDEFE}">
  <dimension ref="B2:H47"/>
  <sheetViews>
    <sheetView topLeftCell="A11" workbookViewId="0">
      <selection activeCell="F26" sqref="F26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9.140625" style="62"/>
    <col min="8" max="8" width="16.85546875" style="62" bestFit="1" customWidth="1"/>
    <col min="9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6" x14ac:dyDescent="0.25">
      <c r="B2" s="407" t="s">
        <v>437</v>
      </c>
      <c r="C2" s="407"/>
      <c r="D2" s="407"/>
      <c r="E2" s="407"/>
      <c r="F2" s="407"/>
    </row>
    <row r="3" spans="2:6" ht="15.75" thickBot="1" x14ac:dyDescent="0.3">
      <c r="B3" s="96"/>
      <c r="C3" s="96"/>
      <c r="D3" s="96"/>
      <c r="E3" s="97"/>
      <c r="F3" s="96"/>
    </row>
    <row r="4" spans="2:6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6" x14ac:dyDescent="0.25">
      <c r="B5" s="408" t="s">
        <v>404</v>
      </c>
      <c r="C5" s="409"/>
      <c r="D5" s="409"/>
      <c r="E5" s="103">
        <v>59369.099999999991</v>
      </c>
      <c r="F5" s="104">
        <f>E5</f>
        <v>59369.099999999991</v>
      </c>
    </row>
    <row r="6" spans="2:6" x14ac:dyDescent="0.25">
      <c r="B6" s="401" t="s">
        <v>405</v>
      </c>
      <c r="C6" s="402"/>
      <c r="D6" s="402"/>
      <c r="E6" s="105">
        <v>1477881.77</v>
      </c>
      <c r="F6" s="104">
        <f t="shared" ref="F6:F12" si="0">E6</f>
        <v>1477881.77</v>
      </c>
    </row>
    <row r="7" spans="2:6" x14ac:dyDescent="0.25">
      <c r="B7" s="401" t="s">
        <v>406</v>
      </c>
      <c r="C7" s="402"/>
      <c r="D7" s="402"/>
      <c r="E7" s="105">
        <v>74152665.969999999</v>
      </c>
      <c r="F7" s="104">
        <f t="shared" si="0"/>
        <v>74152665.969999999</v>
      </c>
    </row>
    <row r="8" spans="2:6" x14ac:dyDescent="0.25">
      <c r="B8" s="401" t="s">
        <v>407</v>
      </c>
      <c r="C8" s="402"/>
      <c r="D8" s="402"/>
      <c r="E8" s="105">
        <v>17391684.670000002</v>
      </c>
      <c r="F8" s="104">
        <f t="shared" si="0"/>
        <v>17391684.670000002</v>
      </c>
    </row>
    <row r="9" spans="2:6" x14ac:dyDescent="0.25">
      <c r="B9" s="401" t="s">
        <v>408</v>
      </c>
      <c r="C9" s="402"/>
      <c r="D9" s="402"/>
      <c r="E9" s="105">
        <v>34348.74</v>
      </c>
      <c r="F9" s="104">
        <f t="shared" si="0"/>
        <v>34348.74</v>
      </c>
    </row>
    <row r="10" spans="2:6" x14ac:dyDescent="0.25">
      <c r="B10" s="401" t="s">
        <v>409</v>
      </c>
      <c r="C10" s="402"/>
      <c r="D10" s="402"/>
      <c r="E10" s="105">
        <v>20855.66</v>
      </c>
      <c r="F10" s="104">
        <f t="shared" si="0"/>
        <v>20855.66</v>
      </c>
    </row>
    <row r="11" spans="2:6" x14ac:dyDescent="0.25">
      <c r="B11" s="401" t="s">
        <v>410</v>
      </c>
      <c r="C11" s="402"/>
      <c r="D11" s="402"/>
      <c r="E11" s="105">
        <v>1452.04</v>
      </c>
      <c r="F11" s="104">
        <f t="shared" si="0"/>
        <v>1452.04</v>
      </c>
    </row>
    <row r="12" spans="2:6" x14ac:dyDescent="0.25">
      <c r="B12" s="403" t="s">
        <v>411</v>
      </c>
      <c r="C12" s="404"/>
      <c r="D12" s="404"/>
      <c r="E12" s="107">
        <v>0</v>
      </c>
      <c r="F12" s="108">
        <f t="shared" si="0"/>
        <v>0</v>
      </c>
    </row>
    <row r="13" spans="2:6" ht="15.75" thickBot="1" x14ac:dyDescent="0.3">
      <c r="B13" s="405" t="s">
        <v>412</v>
      </c>
      <c r="C13" s="406"/>
      <c r="D13" s="406"/>
      <c r="E13" s="110">
        <v>50089950.289999999</v>
      </c>
      <c r="F13" s="111">
        <f>E13</f>
        <v>50089950.289999999</v>
      </c>
    </row>
    <row r="14" spans="2:6" ht="15.75" thickBot="1" x14ac:dyDescent="0.3">
      <c r="B14" s="399" t="s">
        <v>413</v>
      </c>
      <c r="C14" s="400"/>
      <c r="D14" s="400"/>
      <c r="E14" s="100">
        <f>SUM(E5:E13)</f>
        <v>143228208.24000001</v>
      </c>
      <c r="F14" s="100">
        <f>SUM(F5:F13)</f>
        <v>143228208.24000001</v>
      </c>
    </row>
    <row r="15" spans="2:6" x14ac:dyDescent="0.25">
      <c r="B15" s="393" t="s">
        <v>414</v>
      </c>
      <c r="C15" s="394"/>
      <c r="D15" s="394"/>
      <c r="E15" s="112">
        <v>-37571.82</v>
      </c>
      <c r="F15" s="113">
        <f>E15</f>
        <v>-37571.82</v>
      </c>
    </row>
    <row r="16" spans="2:6" x14ac:dyDescent="0.25">
      <c r="B16" s="395" t="s">
        <v>415</v>
      </c>
      <c r="C16" s="396"/>
      <c r="D16" s="396"/>
      <c r="E16" s="114">
        <v>0</v>
      </c>
      <c r="F16" s="115">
        <f>E16</f>
        <v>0</v>
      </c>
    </row>
    <row r="17" spans="2:8" x14ac:dyDescent="0.25">
      <c r="B17" s="397" t="s">
        <v>439</v>
      </c>
      <c r="C17" s="398"/>
      <c r="D17" s="398"/>
      <c r="E17" s="118">
        <v>-50089950.289999999</v>
      </c>
      <c r="F17" s="119">
        <f>E17</f>
        <v>-50089950.289999999</v>
      </c>
    </row>
    <row r="18" spans="2:8" ht="15.75" thickBot="1" x14ac:dyDescent="0.3">
      <c r="B18" s="367" t="s">
        <v>440</v>
      </c>
      <c r="C18" s="368"/>
      <c r="D18" s="368"/>
      <c r="E18" s="120">
        <v>-164645.69</v>
      </c>
      <c r="F18" s="121">
        <f>E18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92936040.440000027</v>
      </c>
      <c r="F19" s="122">
        <f>SUM(F14:F18)</f>
        <v>92936040.440000027</v>
      </c>
      <c r="G19" s="123"/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29">
        <v>37571.819999999992</v>
      </c>
      <c r="F22" s="130">
        <f t="shared" ref="F22:F30" si="1">E22</f>
        <v>37571.819999999992</v>
      </c>
    </row>
    <row r="23" spans="2:8" x14ac:dyDescent="0.25">
      <c r="B23" s="383" t="s">
        <v>442</v>
      </c>
      <c r="C23" s="384"/>
      <c r="D23" s="384"/>
      <c r="E23" s="109"/>
      <c r="F23" s="131">
        <f t="shared" si="1"/>
        <v>0</v>
      </c>
    </row>
    <row r="24" spans="2:8" x14ac:dyDescent="0.25">
      <c r="B24" s="385" t="s">
        <v>434</v>
      </c>
      <c r="C24" s="386"/>
      <c r="D24" s="386"/>
      <c r="E24" s="132">
        <v>79099.41</v>
      </c>
      <c r="F24" s="133">
        <f t="shared" si="1"/>
        <v>79099.41</v>
      </c>
    </row>
    <row r="25" spans="2:8" x14ac:dyDescent="0.25">
      <c r="B25" s="385" t="s">
        <v>433</v>
      </c>
      <c r="C25" s="386"/>
      <c r="D25" s="386"/>
      <c r="E25" s="132">
        <v>34311367.489999995</v>
      </c>
      <c r="F25" s="133">
        <f t="shared" si="1"/>
        <v>34311367.489999995</v>
      </c>
    </row>
    <row r="26" spans="2:8" x14ac:dyDescent="0.25">
      <c r="B26" s="385" t="s">
        <v>432</v>
      </c>
      <c r="C26" s="386"/>
      <c r="D26" s="386"/>
      <c r="E26" s="132">
        <v>15697875.6</v>
      </c>
      <c r="F26" s="133">
        <f t="shared" si="1"/>
        <v>15697875.6</v>
      </c>
    </row>
    <row r="27" spans="2:8" x14ac:dyDescent="0.25">
      <c r="B27" s="385" t="s">
        <v>431</v>
      </c>
      <c r="C27" s="386"/>
      <c r="D27" s="386"/>
      <c r="E27" s="132">
        <v>164645.69</v>
      </c>
      <c r="F27" s="133">
        <f t="shared" si="1"/>
        <v>164645.69</v>
      </c>
    </row>
    <row r="28" spans="2:8" x14ac:dyDescent="0.25">
      <c r="B28" s="385" t="s">
        <v>435</v>
      </c>
      <c r="C28" s="386"/>
      <c r="D28" s="386"/>
      <c r="E28" s="154">
        <v>667.56</v>
      </c>
      <c r="F28" s="133">
        <f t="shared" si="1"/>
        <v>667.56</v>
      </c>
    </row>
    <row r="29" spans="2:8" x14ac:dyDescent="0.25">
      <c r="B29" s="387" t="s">
        <v>443</v>
      </c>
      <c r="C29" s="388"/>
      <c r="D29" s="388"/>
      <c r="E29" s="134">
        <v>5628.71</v>
      </c>
      <c r="F29" s="135">
        <f t="shared" si="1"/>
        <v>5628.71</v>
      </c>
    </row>
    <row r="30" spans="2:8" ht="15.75" thickBot="1" x14ac:dyDescent="0.3">
      <c r="B30" s="389" t="s">
        <v>445</v>
      </c>
      <c r="C30" s="390"/>
      <c r="D30" s="390"/>
      <c r="E30" s="136">
        <v>92931351.960000008</v>
      </c>
      <c r="F30" s="137">
        <f t="shared" si="1"/>
        <v>92931351.960000008</v>
      </c>
    </row>
    <row r="31" spans="2:8" ht="15.75" thickBot="1" x14ac:dyDescent="0.3">
      <c r="B31" s="391" t="s">
        <v>418</v>
      </c>
      <c r="C31" s="392"/>
      <c r="D31" s="392"/>
      <c r="E31" s="127">
        <f>SUM(E22:E30)</f>
        <v>143228208.24000001</v>
      </c>
      <c r="F31" s="138">
        <f>SUM(F22:F30)</f>
        <v>143228208.24000001</v>
      </c>
      <c r="G31" s="123"/>
    </row>
    <row r="32" spans="2:8" x14ac:dyDescent="0.25">
      <c r="B32" s="374" t="s">
        <v>419</v>
      </c>
      <c r="C32" s="375"/>
      <c r="D32" s="376"/>
      <c r="E32" s="112">
        <f>-E22</f>
        <v>-37571.819999999992</v>
      </c>
      <c r="F32" s="139">
        <f>E32</f>
        <v>-37571.819999999992</v>
      </c>
    </row>
    <row r="33" spans="2:6" x14ac:dyDescent="0.25">
      <c r="B33" s="377" t="s">
        <v>420</v>
      </c>
      <c r="C33" s="378"/>
      <c r="D33" s="379"/>
      <c r="E33" s="118">
        <f>-E30</f>
        <v>-92931351.960000008</v>
      </c>
      <c r="F33" s="140">
        <f>E33</f>
        <v>-92931351.960000008</v>
      </c>
    </row>
    <row r="34" spans="2:6" x14ac:dyDescent="0.25">
      <c r="B34" s="367" t="s">
        <v>421</v>
      </c>
      <c r="C34" s="368"/>
      <c r="D34" s="368"/>
      <c r="E34" s="109">
        <f>-E23</f>
        <v>0</v>
      </c>
      <c r="F34" s="141">
        <f>E34</f>
        <v>0</v>
      </c>
    </row>
    <row r="35" spans="2:6" x14ac:dyDescent="0.25">
      <c r="B35" s="380" t="s">
        <v>422</v>
      </c>
      <c r="C35" s="381"/>
      <c r="D35" s="382"/>
      <c r="E35" s="134">
        <f>-E29</f>
        <v>-5628.71</v>
      </c>
      <c r="F35" s="142">
        <f>E35</f>
        <v>-5628.71</v>
      </c>
    </row>
    <row r="36" spans="2:6" x14ac:dyDescent="0.25">
      <c r="B36" s="383" t="s">
        <v>423</v>
      </c>
      <c r="C36" s="384"/>
      <c r="D36" s="384"/>
      <c r="E36" s="116"/>
      <c r="F36" s="143"/>
    </row>
    <row r="37" spans="2:6" ht="15.75" customHeight="1" x14ac:dyDescent="0.25">
      <c r="B37" s="367" t="s">
        <v>446</v>
      </c>
      <c r="C37" s="368"/>
      <c r="D37" s="368"/>
      <c r="E37" s="116">
        <v>13294.61</v>
      </c>
      <c r="F37" s="144">
        <f>E37</f>
        <v>13294.61</v>
      </c>
    </row>
    <row r="38" spans="2:6" x14ac:dyDescent="0.25">
      <c r="B38" s="367" t="s">
        <v>457</v>
      </c>
      <c r="C38" s="368"/>
      <c r="D38" s="368"/>
      <c r="E38" s="116"/>
      <c r="F38" s="143">
        <f>-F27</f>
        <v>-164645.69</v>
      </c>
    </row>
    <row r="39" spans="2:6" x14ac:dyDescent="0.25">
      <c r="B39" s="369" t="s">
        <v>424</v>
      </c>
      <c r="C39" s="369"/>
      <c r="D39" s="370"/>
      <c r="E39" s="145">
        <f>SUM(E31:E38)</f>
        <v>50266950.360000007</v>
      </c>
      <c r="F39" s="146">
        <f>SUM(F31:F38)</f>
        <v>50102304.670000009</v>
      </c>
    </row>
    <row r="40" spans="2:6" x14ac:dyDescent="0.25">
      <c r="B40" s="124"/>
      <c r="D40" s="125"/>
      <c r="E40" s="147"/>
      <c r="F40" s="123"/>
    </row>
    <row r="41" spans="2:6" x14ac:dyDescent="0.25">
      <c r="B41" s="371" t="s">
        <v>425</v>
      </c>
      <c r="C41" s="372"/>
      <c r="D41" s="373"/>
      <c r="E41" s="148"/>
      <c r="F41" s="123"/>
    </row>
    <row r="42" spans="2:6" x14ac:dyDescent="0.25">
      <c r="B42" s="364" t="s">
        <v>426</v>
      </c>
      <c r="C42" s="365"/>
      <c r="D42" s="366"/>
      <c r="E42" s="149">
        <v>15778860.390000001</v>
      </c>
      <c r="F42" s="123"/>
    </row>
    <row r="43" spans="2:6" x14ac:dyDescent="0.25">
      <c r="B43" s="364" t="s">
        <v>427</v>
      </c>
      <c r="C43" s="365"/>
      <c r="D43" s="366"/>
      <c r="E43" s="150">
        <v>92931351.959999993</v>
      </c>
    </row>
    <row r="44" spans="2:6" x14ac:dyDescent="0.25">
      <c r="B44" s="364" t="s">
        <v>428</v>
      </c>
      <c r="C44" s="365"/>
      <c r="D44" s="366"/>
      <c r="E44" s="149">
        <v>50089950.289999999</v>
      </c>
    </row>
    <row r="45" spans="2:6" x14ac:dyDescent="0.25">
      <c r="B45" s="364" t="s">
        <v>429</v>
      </c>
      <c r="C45" s="365"/>
      <c r="D45" s="366"/>
      <c r="E45" s="149">
        <v>251992.13</v>
      </c>
      <c r="F45" s="94"/>
    </row>
    <row r="46" spans="2:6" x14ac:dyDescent="0.25">
      <c r="B46" s="364" t="s">
        <v>430</v>
      </c>
      <c r="C46" s="365"/>
      <c r="D46" s="366"/>
      <c r="E46" s="151">
        <f>E42+E43-E44+E45</f>
        <v>58872254.189999998</v>
      </c>
      <c r="F46" s="123"/>
    </row>
    <row r="47" spans="2:6" x14ac:dyDescent="0.25">
      <c r="B47" s="152"/>
      <c r="C47" s="93"/>
      <c r="D47" s="93"/>
      <c r="E47" s="153"/>
    </row>
  </sheetData>
  <mergeCells count="41">
    <mergeCell ref="B9:D9"/>
    <mergeCell ref="B2:F2"/>
    <mergeCell ref="B5:D5"/>
    <mergeCell ref="B6:D6"/>
    <mergeCell ref="B7:D7"/>
    <mergeCell ref="B8:D8"/>
    <mergeCell ref="B10:D10"/>
    <mergeCell ref="B11:D11"/>
    <mergeCell ref="B12:D12"/>
    <mergeCell ref="B13:D13"/>
    <mergeCell ref="B14:D14"/>
    <mergeCell ref="B26:D26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43:D43"/>
    <mergeCell ref="B44:D44"/>
    <mergeCell ref="B45:D45"/>
    <mergeCell ref="B46:D46"/>
    <mergeCell ref="B37:D37"/>
    <mergeCell ref="B38:D38"/>
    <mergeCell ref="B39:D39"/>
    <mergeCell ref="B41:D41"/>
    <mergeCell ref="B42:D4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6073-B04D-42B9-9D95-4F3526A36797}">
  <sheetPr>
    <pageSetUpPr fitToPage="1"/>
  </sheetPr>
  <dimension ref="C2:L43"/>
  <sheetViews>
    <sheetView workbookViewId="0">
      <selection activeCell="C33" sqref="C33:D43"/>
    </sheetView>
  </sheetViews>
  <sheetFormatPr defaultRowHeight="15" x14ac:dyDescent="0.25"/>
  <cols>
    <col min="1" max="1" width="1.42578125" style="62" customWidth="1"/>
    <col min="2" max="2" width="1.85546875" style="62" customWidth="1"/>
    <col min="3" max="3" width="59.85546875" style="62" customWidth="1"/>
    <col min="4" max="4" width="18" style="157" bestFit="1" customWidth="1"/>
    <col min="5" max="5" width="14.5703125" style="62" hidden="1" customWidth="1"/>
    <col min="6" max="6" width="0" style="62" hidden="1" customWidth="1"/>
    <col min="7" max="7" width="16.85546875" style="62" hidden="1" customWidth="1"/>
    <col min="8" max="8" width="2.140625" style="62" customWidth="1"/>
    <col min="9" max="9" width="18" style="62" bestFit="1" customWidth="1"/>
    <col min="10" max="10" width="9.140625" style="62"/>
    <col min="11" max="11" width="14.28515625" style="62" bestFit="1" customWidth="1"/>
    <col min="12" max="12" width="20.85546875" style="62" customWidth="1"/>
    <col min="13" max="256" width="9.140625" style="62"/>
    <col min="257" max="257" width="1.42578125" style="62" customWidth="1"/>
    <col min="258" max="258" width="1.85546875" style="62" customWidth="1"/>
    <col min="259" max="259" width="59.85546875" style="62" customWidth="1"/>
    <col min="260" max="260" width="18" style="62" bestFit="1" customWidth="1"/>
    <col min="261" max="263" width="0" style="62" hidden="1" customWidth="1"/>
    <col min="264" max="264" width="2.140625" style="62" customWidth="1"/>
    <col min="265" max="265" width="18" style="62" bestFit="1" customWidth="1"/>
    <col min="266" max="512" width="9.140625" style="62"/>
    <col min="513" max="513" width="1.42578125" style="62" customWidth="1"/>
    <col min="514" max="514" width="1.85546875" style="62" customWidth="1"/>
    <col min="515" max="515" width="59.85546875" style="62" customWidth="1"/>
    <col min="516" max="516" width="18" style="62" bestFit="1" customWidth="1"/>
    <col min="517" max="519" width="0" style="62" hidden="1" customWidth="1"/>
    <col min="520" max="520" width="2.140625" style="62" customWidth="1"/>
    <col min="521" max="521" width="18" style="62" bestFit="1" customWidth="1"/>
    <col min="522" max="768" width="9.140625" style="62"/>
    <col min="769" max="769" width="1.42578125" style="62" customWidth="1"/>
    <col min="770" max="770" width="1.85546875" style="62" customWidth="1"/>
    <col min="771" max="771" width="59.85546875" style="62" customWidth="1"/>
    <col min="772" max="772" width="18" style="62" bestFit="1" customWidth="1"/>
    <col min="773" max="775" width="0" style="62" hidden="1" customWidth="1"/>
    <col min="776" max="776" width="2.140625" style="62" customWidth="1"/>
    <col min="777" max="777" width="18" style="62" bestFit="1" customWidth="1"/>
    <col min="778" max="1024" width="9.140625" style="62"/>
    <col min="1025" max="1025" width="1.42578125" style="62" customWidth="1"/>
    <col min="1026" max="1026" width="1.85546875" style="62" customWidth="1"/>
    <col min="1027" max="1027" width="59.85546875" style="62" customWidth="1"/>
    <col min="1028" max="1028" width="18" style="62" bestFit="1" customWidth="1"/>
    <col min="1029" max="1031" width="0" style="62" hidden="1" customWidth="1"/>
    <col min="1032" max="1032" width="2.140625" style="62" customWidth="1"/>
    <col min="1033" max="1033" width="18" style="62" bestFit="1" customWidth="1"/>
    <col min="1034" max="1280" width="9.140625" style="62"/>
    <col min="1281" max="1281" width="1.42578125" style="62" customWidth="1"/>
    <col min="1282" max="1282" width="1.85546875" style="62" customWidth="1"/>
    <col min="1283" max="1283" width="59.85546875" style="62" customWidth="1"/>
    <col min="1284" max="1284" width="18" style="62" bestFit="1" customWidth="1"/>
    <col min="1285" max="1287" width="0" style="62" hidden="1" customWidth="1"/>
    <col min="1288" max="1288" width="2.140625" style="62" customWidth="1"/>
    <col min="1289" max="1289" width="18" style="62" bestFit="1" customWidth="1"/>
    <col min="1290" max="1536" width="9.140625" style="62"/>
    <col min="1537" max="1537" width="1.42578125" style="62" customWidth="1"/>
    <col min="1538" max="1538" width="1.85546875" style="62" customWidth="1"/>
    <col min="1539" max="1539" width="59.85546875" style="62" customWidth="1"/>
    <col min="1540" max="1540" width="18" style="62" bestFit="1" customWidth="1"/>
    <col min="1541" max="1543" width="0" style="62" hidden="1" customWidth="1"/>
    <col min="1544" max="1544" width="2.140625" style="62" customWidth="1"/>
    <col min="1545" max="1545" width="18" style="62" bestFit="1" customWidth="1"/>
    <col min="1546" max="1792" width="9.140625" style="62"/>
    <col min="1793" max="1793" width="1.42578125" style="62" customWidth="1"/>
    <col min="1794" max="1794" width="1.85546875" style="62" customWidth="1"/>
    <col min="1795" max="1795" width="59.85546875" style="62" customWidth="1"/>
    <col min="1796" max="1796" width="18" style="62" bestFit="1" customWidth="1"/>
    <col min="1797" max="1799" width="0" style="62" hidden="1" customWidth="1"/>
    <col min="1800" max="1800" width="2.140625" style="62" customWidth="1"/>
    <col min="1801" max="1801" width="18" style="62" bestFit="1" customWidth="1"/>
    <col min="1802" max="2048" width="9.140625" style="62"/>
    <col min="2049" max="2049" width="1.42578125" style="62" customWidth="1"/>
    <col min="2050" max="2050" width="1.85546875" style="62" customWidth="1"/>
    <col min="2051" max="2051" width="59.85546875" style="62" customWidth="1"/>
    <col min="2052" max="2052" width="18" style="62" bestFit="1" customWidth="1"/>
    <col min="2053" max="2055" width="0" style="62" hidden="1" customWidth="1"/>
    <col min="2056" max="2056" width="2.140625" style="62" customWidth="1"/>
    <col min="2057" max="2057" width="18" style="62" bestFit="1" customWidth="1"/>
    <col min="2058" max="2304" width="9.140625" style="62"/>
    <col min="2305" max="2305" width="1.42578125" style="62" customWidth="1"/>
    <col min="2306" max="2306" width="1.85546875" style="62" customWidth="1"/>
    <col min="2307" max="2307" width="59.85546875" style="62" customWidth="1"/>
    <col min="2308" max="2308" width="18" style="62" bestFit="1" customWidth="1"/>
    <col min="2309" max="2311" width="0" style="62" hidden="1" customWidth="1"/>
    <col min="2312" max="2312" width="2.140625" style="62" customWidth="1"/>
    <col min="2313" max="2313" width="18" style="62" bestFit="1" customWidth="1"/>
    <col min="2314" max="2560" width="9.140625" style="62"/>
    <col min="2561" max="2561" width="1.42578125" style="62" customWidth="1"/>
    <col min="2562" max="2562" width="1.85546875" style="62" customWidth="1"/>
    <col min="2563" max="2563" width="59.85546875" style="62" customWidth="1"/>
    <col min="2564" max="2564" width="18" style="62" bestFit="1" customWidth="1"/>
    <col min="2565" max="2567" width="0" style="62" hidden="1" customWidth="1"/>
    <col min="2568" max="2568" width="2.140625" style="62" customWidth="1"/>
    <col min="2569" max="2569" width="18" style="62" bestFit="1" customWidth="1"/>
    <col min="2570" max="2816" width="9.140625" style="62"/>
    <col min="2817" max="2817" width="1.42578125" style="62" customWidth="1"/>
    <col min="2818" max="2818" width="1.85546875" style="62" customWidth="1"/>
    <col min="2819" max="2819" width="59.85546875" style="62" customWidth="1"/>
    <col min="2820" max="2820" width="18" style="62" bestFit="1" customWidth="1"/>
    <col min="2821" max="2823" width="0" style="62" hidden="1" customWidth="1"/>
    <col min="2824" max="2824" width="2.140625" style="62" customWidth="1"/>
    <col min="2825" max="2825" width="18" style="62" bestFit="1" customWidth="1"/>
    <col min="2826" max="3072" width="9.140625" style="62"/>
    <col min="3073" max="3073" width="1.42578125" style="62" customWidth="1"/>
    <col min="3074" max="3074" width="1.85546875" style="62" customWidth="1"/>
    <col min="3075" max="3075" width="59.85546875" style="62" customWidth="1"/>
    <col min="3076" max="3076" width="18" style="62" bestFit="1" customWidth="1"/>
    <col min="3077" max="3079" width="0" style="62" hidden="1" customWidth="1"/>
    <col min="3080" max="3080" width="2.140625" style="62" customWidth="1"/>
    <col min="3081" max="3081" width="18" style="62" bestFit="1" customWidth="1"/>
    <col min="3082" max="3328" width="9.140625" style="62"/>
    <col min="3329" max="3329" width="1.42578125" style="62" customWidth="1"/>
    <col min="3330" max="3330" width="1.85546875" style="62" customWidth="1"/>
    <col min="3331" max="3331" width="59.85546875" style="62" customWidth="1"/>
    <col min="3332" max="3332" width="18" style="62" bestFit="1" customWidth="1"/>
    <col min="3333" max="3335" width="0" style="62" hidden="1" customWidth="1"/>
    <col min="3336" max="3336" width="2.140625" style="62" customWidth="1"/>
    <col min="3337" max="3337" width="18" style="62" bestFit="1" customWidth="1"/>
    <col min="3338" max="3584" width="9.140625" style="62"/>
    <col min="3585" max="3585" width="1.42578125" style="62" customWidth="1"/>
    <col min="3586" max="3586" width="1.85546875" style="62" customWidth="1"/>
    <col min="3587" max="3587" width="59.85546875" style="62" customWidth="1"/>
    <col min="3588" max="3588" width="18" style="62" bestFit="1" customWidth="1"/>
    <col min="3589" max="3591" width="0" style="62" hidden="1" customWidth="1"/>
    <col min="3592" max="3592" width="2.140625" style="62" customWidth="1"/>
    <col min="3593" max="3593" width="18" style="62" bestFit="1" customWidth="1"/>
    <col min="3594" max="3840" width="9.140625" style="62"/>
    <col min="3841" max="3841" width="1.42578125" style="62" customWidth="1"/>
    <col min="3842" max="3842" width="1.85546875" style="62" customWidth="1"/>
    <col min="3843" max="3843" width="59.85546875" style="62" customWidth="1"/>
    <col min="3844" max="3844" width="18" style="62" bestFit="1" customWidth="1"/>
    <col min="3845" max="3847" width="0" style="62" hidden="1" customWidth="1"/>
    <col min="3848" max="3848" width="2.140625" style="62" customWidth="1"/>
    <col min="3849" max="3849" width="18" style="62" bestFit="1" customWidth="1"/>
    <col min="3850" max="4096" width="9.140625" style="62"/>
    <col min="4097" max="4097" width="1.42578125" style="62" customWidth="1"/>
    <col min="4098" max="4098" width="1.85546875" style="62" customWidth="1"/>
    <col min="4099" max="4099" width="59.85546875" style="62" customWidth="1"/>
    <col min="4100" max="4100" width="18" style="62" bestFit="1" customWidth="1"/>
    <col min="4101" max="4103" width="0" style="62" hidden="1" customWidth="1"/>
    <col min="4104" max="4104" width="2.140625" style="62" customWidth="1"/>
    <col min="4105" max="4105" width="18" style="62" bestFit="1" customWidth="1"/>
    <col min="4106" max="4352" width="9.140625" style="62"/>
    <col min="4353" max="4353" width="1.42578125" style="62" customWidth="1"/>
    <col min="4354" max="4354" width="1.85546875" style="62" customWidth="1"/>
    <col min="4355" max="4355" width="59.85546875" style="62" customWidth="1"/>
    <col min="4356" max="4356" width="18" style="62" bestFit="1" customWidth="1"/>
    <col min="4357" max="4359" width="0" style="62" hidden="1" customWidth="1"/>
    <col min="4360" max="4360" width="2.140625" style="62" customWidth="1"/>
    <col min="4361" max="4361" width="18" style="62" bestFit="1" customWidth="1"/>
    <col min="4362" max="4608" width="9.140625" style="62"/>
    <col min="4609" max="4609" width="1.42578125" style="62" customWidth="1"/>
    <col min="4610" max="4610" width="1.85546875" style="62" customWidth="1"/>
    <col min="4611" max="4611" width="59.85546875" style="62" customWidth="1"/>
    <col min="4612" max="4612" width="18" style="62" bestFit="1" customWidth="1"/>
    <col min="4613" max="4615" width="0" style="62" hidden="1" customWidth="1"/>
    <col min="4616" max="4616" width="2.140625" style="62" customWidth="1"/>
    <col min="4617" max="4617" width="18" style="62" bestFit="1" customWidth="1"/>
    <col min="4618" max="4864" width="9.140625" style="62"/>
    <col min="4865" max="4865" width="1.42578125" style="62" customWidth="1"/>
    <col min="4866" max="4866" width="1.85546875" style="62" customWidth="1"/>
    <col min="4867" max="4867" width="59.85546875" style="62" customWidth="1"/>
    <col min="4868" max="4868" width="18" style="62" bestFit="1" customWidth="1"/>
    <col min="4869" max="4871" width="0" style="62" hidden="1" customWidth="1"/>
    <col min="4872" max="4872" width="2.140625" style="62" customWidth="1"/>
    <col min="4873" max="4873" width="18" style="62" bestFit="1" customWidth="1"/>
    <col min="4874" max="5120" width="9.140625" style="62"/>
    <col min="5121" max="5121" width="1.42578125" style="62" customWidth="1"/>
    <col min="5122" max="5122" width="1.85546875" style="62" customWidth="1"/>
    <col min="5123" max="5123" width="59.85546875" style="62" customWidth="1"/>
    <col min="5124" max="5124" width="18" style="62" bestFit="1" customWidth="1"/>
    <col min="5125" max="5127" width="0" style="62" hidden="1" customWidth="1"/>
    <col min="5128" max="5128" width="2.140625" style="62" customWidth="1"/>
    <col min="5129" max="5129" width="18" style="62" bestFit="1" customWidth="1"/>
    <col min="5130" max="5376" width="9.140625" style="62"/>
    <col min="5377" max="5377" width="1.42578125" style="62" customWidth="1"/>
    <col min="5378" max="5378" width="1.85546875" style="62" customWidth="1"/>
    <col min="5379" max="5379" width="59.85546875" style="62" customWidth="1"/>
    <col min="5380" max="5380" width="18" style="62" bestFit="1" customWidth="1"/>
    <col min="5381" max="5383" width="0" style="62" hidden="1" customWidth="1"/>
    <col min="5384" max="5384" width="2.140625" style="62" customWidth="1"/>
    <col min="5385" max="5385" width="18" style="62" bestFit="1" customWidth="1"/>
    <col min="5386" max="5632" width="9.140625" style="62"/>
    <col min="5633" max="5633" width="1.42578125" style="62" customWidth="1"/>
    <col min="5634" max="5634" width="1.85546875" style="62" customWidth="1"/>
    <col min="5635" max="5635" width="59.85546875" style="62" customWidth="1"/>
    <col min="5636" max="5636" width="18" style="62" bestFit="1" customWidth="1"/>
    <col min="5637" max="5639" width="0" style="62" hidden="1" customWidth="1"/>
    <col min="5640" max="5640" width="2.140625" style="62" customWidth="1"/>
    <col min="5641" max="5641" width="18" style="62" bestFit="1" customWidth="1"/>
    <col min="5642" max="5888" width="9.140625" style="62"/>
    <col min="5889" max="5889" width="1.42578125" style="62" customWidth="1"/>
    <col min="5890" max="5890" width="1.85546875" style="62" customWidth="1"/>
    <col min="5891" max="5891" width="59.85546875" style="62" customWidth="1"/>
    <col min="5892" max="5892" width="18" style="62" bestFit="1" customWidth="1"/>
    <col min="5893" max="5895" width="0" style="62" hidden="1" customWidth="1"/>
    <col min="5896" max="5896" width="2.140625" style="62" customWidth="1"/>
    <col min="5897" max="5897" width="18" style="62" bestFit="1" customWidth="1"/>
    <col min="5898" max="6144" width="9.140625" style="62"/>
    <col min="6145" max="6145" width="1.42578125" style="62" customWidth="1"/>
    <col min="6146" max="6146" width="1.85546875" style="62" customWidth="1"/>
    <col min="6147" max="6147" width="59.85546875" style="62" customWidth="1"/>
    <col min="6148" max="6148" width="18" style="62" bestFit="1" customWidth="1"/>
    <col min="6149" max="6151" width="0" style="62" hidden="1" customWidth="1"/>
    <col min="6152" max="6152" width="2.140625" style="62" customWidth="1"/>
    <col min="6153" max="6153" width="18" style="62" bestFit="1" customWidth="1"/>
    <col min="6154" max="6400" width="9.140625" style="62"/>
    <col min="6401" max="6401" width="1.42578125" style="62" customWidth="1"/>
    <col min="6402" max="6402" width="1.85546875" style="62" customWidth="1"/>
    <col min="6403" max="6403" width="59.85546875" style="62" customWidth="1"/>
    <col min="6404" max="6404" width="18" style="62" bestFit="1" customWidth="1"/>
    <col min="6405" max="6407" width="0" style="62" hidden="1" customWidth="1"/>
    <col min="6408" max="6408" width="2.140625" style="62" customWidth="1"/>
    <col min="6409" max="6409" width="18" style="62" bestFit="1" customWidth="1"/>
    <col min="6410" max="6656" width="9.140625" style="62"/>
    <col min="6657" max="6657" width="1.42578125" style="62" customWidth="1"/>
    <col min="6658" max="6658" width="1.85546875" style="62" customWidth="1"/>
    <col min="6659" max="6659" width="59.85546875" style="62" customWidth="1"/>
    <col min="6660" max="6660" width="18" style="62" bestFit="1" customWidth="1"/>
    <col min="6661" max="6663" width="0" style="62" hidden="1" customWidth="1"/>
    <col min="6664" max="6664" width="2.140625" style="62" customWidth="1"/>
    <col min="6665" max="6665" width="18" style="62" bestFit="1" customWidth="1"/>
    <col min="6666" max="6912" width="9.140625" style="62"/>
    <col min="6913" max="6913" width="1.42578125" style="62" customWidth="1"/>
    <col min="6914" max="6914" width="1.85546875" style="62" customWidth="1"/>
    <col min="6915" max="6915" width="59.85546875" style="62" customWidth="1"/>
    <col min="6916" max="6916" width="18" style="62" bestFit="1" customWidth="1"/>
    <col min="6917" max="6919" width="0" style="62" hidden="1" customWidth="1"/>
    <col min="6920" max="6920" width="2.140625" style="62" customWidth="1"/>
    <col min="6921" max="6921" width="18" style="62" bestFit="1" customWidth="1"/>
    <col min="6922" max="7168" width="9.140625" style="62"/>
    <col min="7169" max="7169" width="1.42578125" style="62" customWidth="1"/>
    <col min="7170" max="7170" width="1.85546875" style="62" customWidth="1"/>
    <col min="7171" max="7171" width="59.85546875" style="62" customWidth="1"/>
    <col min="7172" max="7172" width="18" style="62" bestFit="1" customWidth="1"/>
    <col min="7173" max="7175" width="0" style="62" hidden="1" customWidth="1"/>
    <col min="7176" max="7176" width="2.140625" style="62" customWidth="1"/>
    <col min="7177" max="7177" width="18" style="62" bestFit="1" customWidth="1"/>
    <col min="7178" max="7424" width="9.140625" style="62"/>
    <col min="7425" max="7425" width="1.42578125" style="62" customWidth="1"/>
    <col min="7426" max="7426" width="1.85546875" style="62" customWidth="1"/>
    <col min="7427" max="7427" width="59.85546875" style="62" customWidth="1"/>
    <col min="7428" max="7428" width="18" style="62" bestFit="1" customWidth="1"/>
    <col min="7429" max="7431" width="0" style="62" hidden="1" customWidth="1"/>
    <col min="7432" max="7432" width="2.140625" style="62" customWidth="1"/>
    <col min="7433" max="7433" width="18" style="62" bestFit="1" customWidth="1"/>
    <col min="7434" max="7680" width="9.140625" style="62"/>
    <col min="7681" max="7681" width="1.42578125" style="62" customWidth="1"/>
    <col min="7682" max="7682" width="1.85546875" style="62" customWidth="1"/>
    <col min="7683" max="7683" width="59.85546875" style="62" customWidth="1"/>
    <col min="7684" max="7684" width="18" style="62" bestFit="1" customWidth="1"/>
    <col min="7685" max="7687" width="0" style="62" hidden="1" customWidth="1"/>
    <col min="7688" max="7688" width="2.140625" style="62" customWidth="1"/>
    <col min="7689" max="7689" width="18" style="62" bestFit="1" customWidth="1"/>
    <col min="7690" max="7936" width="9.140625" style="62"/>
    <col min="7937" max="7937" width="1.42578125" style="62" customWidth="1"/>
    <col min="7938" max="7938" width="1.85546875" style="62" customWidth="1"/>
    <col min="7939" max="7939" width="59.85546875" style="62" customWidth="1"/>
    <col min="7940" max="7940" width="18" style="62" bestFit="1" customWidth="1"/>
    <col min="7941" max="7943" width="0" style="62" hidden="1" customWidth="1"/>
    <col min="7944" max="7944" width="2.140625" style="62" customWidth="1"/>
    <col min="7945" max="7945" width="18" style="62" bestFit="1" customWidth="1"/>
    <col min="7946" max="8192" width="9.140625" style="62"/>
    <col min="8193" max="8193" width="1.42578125" style="62" customWidth="1"/>
    <col min="8194" max="8194" width="1.85546875" style="62" customWidth="1"/>
    <col min="8195" max="8195" width="59.85546875" style="62" customWidth="1"/>
    <col min="8196" max="8196" width="18" style="62" bestFit="1" customWidth="1"/>
    <col min="8197" max="8199" width="0" style="62" hidden="1" customWidth="1"/>
    <col min="8200" max="8200" width="2.140625" style="62" customWidth="1"/>
    <col min="8201" max="8201" width="18" style="62" bestFit="1" customWidth="1"/>
    <col min="8202" max="8448" width="9.140625" style="62"/>
    <col min="8449" max="8449" width="1.42578125" style="62" customWidth="1"/>
    <col min="8450" max="8450" width="1.85546875" style="62" customWidth="1"/>
    <col min="8451" max="8451" width="59.85546875" style="62" customWidth="1"/>
    <col min="8452" max="8452" width="18" style="62" bestFit="1" customWidth="1"/>
    <col min="8453" max="8455" width="0" style="62" hidden="1" customWidth="1"/>
    <col min="8456" max="8456" width="2.140625" style="62" customWidth="1"/>
    <col min="8457" max="8457" width="18" style="62" bestFit="1" customWidth="1"/>
    <col min="8458" max="8704" width="9.140625" style="62"/>
    <col min="8705" max="8705" width="1.42578125" style="62" customWidth="1"/>
    <col min="8706" max="8706" width="1.85546875" style="62" customWidth="1"/>
    <col min="8707" max="8707" width="59.85546875" style="62" customWidth="1"/>
    <col min="8708" max="8708" width="18" style="62" bestFit="1" customWidth="1"/>
    <col min="8709" max="8711" width="0" style="62" hidden="1" customWidth="1"/>
    <col min="8712" max="8712" width="2.140625" style="62" customWidth="1"/>
    <col min="8713" max="8713" width="18" style="62" bestFit="1" customWidth="1"/>
    <col min="8714" max="8960" width="9.140625" style="62"/>
    <col min="8961" max="8961" width="1.42578125" style="62" customWidth="1"/>
    <col min="8962" max="8962" width="1.85546875" style="62" customWidth="1"/>
    <col min="8963" max="8963" width="59.85546875" style="62" customWidth="1"/>
    <col min="8964" max="8964" width="18" style="62" bestFit="1" customWidth="1"/>
    <col min="8965" max="8967" width="0" style="62" hidden="1" customWidth="1"/>
    <col min="8968" max="8968" width="2.140625" style="62" customWidth="1"/>
    <col min="8969" max="8969" width="18" style="62" bestFit="1" customWidth="1"/>
    <col min="8970" max="9216" width="9.140625" style="62"/>
    <col min="9217" max="9217" width="1.42578125" style="62" customWidth="1"/>
    <col min="9218" max="9218" width="1.85546875" style="62" customWidth="1"/>
    <col min="9219" max="9219" width="59.85546875" style="62" customWidth="1"/>
    <col min="9220" max="9220" width="18" style="62" bestFit="1" customWidth="1"/>
    <col min="9221" max="9223" width="0" style="62" hidden="1" customWidth="1"/>
    <col min="9224" max="9224" width="2.140625" style="62" customWidth="1"/>
    <col min="9225" max="9225" width="18" style="62" bestFit="1" customWidth="1"/>
    <col min="9226" max="9472" width="9.140625" style="62"/>
    <col min="9473" max="9473" width="1.42578125" style="62" customWidth="1"/>
    <col min="9474" max="9474" width="1.85546875" style="62" customWidth="1"/>
    <col min="9475" max="9475" width="59.85546875" style="62" customWidth="1"/>
    <col min="9476" max="9476" width="18" style="62" bestFit="1" customWidth="1"/>
    <col min="9477" max="9479" width="0" style="62" hidden="1" customWidth="1"/>
    <col min="9480" max="9480" width="2.140625" style="62" customWidth="1"/>
    <col min="9481" max="9481" width="18" style="62" bestFit="1" customWidth="1"/>
    <col min="9482" max="9728" width="9.140625" style="62"/>
    <col min="9729" max="9729" width="1.42578125" style="62" customWidth="1"/>
    <col min="9730" max="9730" width="1.85546875" style="62" customWidth="1"/>
    <col min="9731" max="9731" width="59.85546875" style="62" customWidth="1"/>
    <col min="9732" max="9732" width="18" style="62" bestFit="1" customWidth="1"/>
    <col min="9733" max="9735" width="0" style="62" hidden="1" customWidth="1"/>
    <col min="9736" max="9736" width="2.140625" style="62" customWidth="1"/>
    <col min="9737" max="9737" width="18" style="62" bestFit="1" customWidth="1"/>
    <col min="9738" max="9984" width="9.140625" style="62"/>
    <col min="9985" max="9985" width="1.42578125" style="62" customWidth="1"/>
    <col min="9986" max="9986" width="1.85546875" style="62" customWidth="1"/>
    <col min="9987" max="9987" width="59.85546875" style="62" customWidth="1"/>
    <col min="9988" max="9988" width="18" style="62" bestFit="1" customWidth="1"/>
    <col min="9989" max="9991" width="0" style="62" hidden="1" customWidth="1"/>
    <col min="9992" max="9992" width="2.140625" style="62" customWidth="1"/>
    <col min="9993" max="9993" width="18" style="62" bestFit="1" customWidth="1"/>
    <col min="9994" max="10240" width="9.140625" style="62"/>
    <col min="10241" max="10241" width="1.42578125" style="62" customWidth="1"/>
    <col min="10242" max="10242" width="1.85546875" style="62" customWidth="1"/>
    <col min="10243" max="10243" width="59.85546875" style="62" customWidth="1"/>
    <col min="10244" max="10244" width="18" style="62" bestFit="1" customWidth="1"/>
    <col min="10245" max="10247" width="0" style="62" hidden="1" customWidth="1"/>
    <col min="10248" max="10248" width="2.140625" style="62" customWidth="1"/>
    <col min="10249" max="10249" width="18" style="62" bestFit="1" customWidth="1"/>
    <col min="10250" max="10496" width="9.140625" style="62"/>
    <col min="10497" max="10497" width="1.42578125" style="62" customWidth="1"/>
    <col min="10498" max="10498" width="1.85546875" style="62" customWidth="1"/>
    <col min="10499" max="10499" width="59.85546875" style="62" customWidth="1"/>
    <col min="10500" max="10500" width="18" style="62" bestFit="1" customWidth="1"/>
    <col min="10501" max="10503" width="0" style="62" hidden="1" customWidth="1"/>
    <col min="10504" max="10504" width="2.140625" style="62" customWidth="1"/>
    <col min="10505" max="10505" width="18" style="62" bestFit="1" customWidth="1"/>
    <col min="10506" max="10752" width="9.140625" style="62"/>
    <col min="10753" max="10753" width="1.42578125" style="62" customWidth="1"/>
    <col min="10754" max="10754" width="1.85546875" style="62" customWidth="1"/>
    <col min="10755" max="10755" width="59.85546875" style="62" customWidth="1"/>
    <col min="10756" max="10756" width="18" style="62" bestFit="1" customWidth="1"/>
    <col min="10757" max="10759" width="0" style="62" hidden="1" customWidth="1"/>
    <col min="10760" max="10760" width="2.140625" style="62" customWidth="1"/>
    <col min="10761" max="10761" width="18" style="62" bestFit="1" customWidth="1"/>
    <col min="10762" max="11008" width="9.140625" style="62"/>
    <col min="11009" max="11009" width="1.42578125" style="62" customWidth="1"/>
    <col min="11010" max="11010" width="1.85546875" style="62" customWidth="1"/>
    <col min="11011" max="11011" width="59.85546875" style="62" customWidth="1"/>
    <col min="11012" max="11012" width="18" style="62" bestFit="1" customWidth="1"/>
    <col min="11013" max="11015" width="0" style="62" hidden="1" customWidth="1"/>
    <col min="11016" max="11016" width="2.140625" style="62" customWidth="1"/>
    <col min="11017" max="11017" width="18" style="62" bestFit="1" customWidth="1"/>
    <col min="11018" max="11264" width="9.140625" style="62"/>
    <col min="11265" max="11265" width="1.42578125" style="62" customWidth="1"/>
    <col min="11266" max="11266" width="1.85546875" style="62" customWidth="1"/>
    <col min="11267" max="11267" width="59.85546875" style="62" customWidth="1"/>
    <col min="11268" max="11268" width="18" style="62" bestFit="1" customWidth="1"/>
    <col min="11269" max="11271" width="0" style="62" hidden="1" customWidth="1"/>
    <col min="11272" max="11272" width="2.140625" style="62" customWidth="1"/>
    <col min="11273" max="11273" width="18" style="62" bestFit="1" customWidth="1"/>
    <col min="11274" max="11520" width="9.140625" style="62"/>
    <col min="11521" max="11521" width="1.42578125" style="62" customWidth="1"/>
    <col min="11522" max="11522" width="1.85546875" style="62" customWidth="1"/>
    <col min="11523" max="11523" width="59.85546875" style="62" customWidth="1"/>
    <col min="11524" max="11524" width="18" style="62" bestFit="1" customWidth="1"/>
    <col min="11525" max="11527" width="0" style="62" hidden="1" customWidth="1"/>
    <col min="11528" max="11528" width="2.140625" style="62" customWidth="1"/>
    <col min="11529" max="11529" width="18" style="62" bestFit="1" customWidth="1"/>
    <col min="11530" max="11776" width="9.140625" style="62"/>
    <col min="11777" max="11777" width="1.42578125" style="62" customWidth="1"/>
    <col min="11778" max="11778" width="1.85546875" style="62" customWidth="1"/>
    <col min="11779" max="11779" width="59.85546875" style="62" customWidth="1"/>
    <col min="11780" max="11780" width="18" style="62" bestFit="1" customWidth="1"/>
    <col min="11781" max="11783" width="0" style="62" hidden="1" customWidth="1"/>
    <col min="11784" max="11784" width="2.140625" style="62" customWidth="1"/>
    <col min="11785" max="11785" width="18" style="62" bestFit="1" customWidth="1"/>
    <col min="11786" max="12032" width="9.140625" style="62"/>
    <col min="12033" max="12033" width="1.42578125" style="62" customWidth="1"/>
    <col min="12034" max="12034" width="1.85546875" style="62" customWidth="1"/>
    <col min="12035" max="12035" width="59.85546875" style="62" customWidth="1"/>
    <col min="12036" max="12036" width="18" style="62" bestFit="1" customWidth="1"/>
    <col min="12037" max="12039" width="0" style="62" hidden="1" customWidth="1"/>
    <col min="12040" max="12040" width="2.140625" style="62" customWidth="1"/>
    <col min="12041" max="12041" width="18" style="62" bestFit="1" customWidth="1"/>
    <col min="12042" max="12288" width="9.140625" style="62"/>
    <col min="12289" max="12289" width="1.42578125" style="62" customWidth="1"/>
    <col min="12290" max="12290" width="1.85546875" style="62" customWidth="1"/>
    <col min="12291" max="12291" width="59.85546875" style="62" customWidth="1"/>
    <col min="12292" max="12292" width="18" style="62" bestFit="1" customWidth="1"/>
    <col min="12293" max="12295" width="0" style="62" hidden="1" customWidth="1"/>
    <col min="12296" max="12296" width="2.140625" style="62" customWidth="1"/>
    <col min="12297" max="12297" width="18" style="62" bestFit="1" customWidth="1"/>
    <col min="12298" max="12544" width="9.140625" style="62"/>
    <col min="12545" max="12545" width="1.42578125" style="62" customWidth="1"/>
    <col min="12546" max="12546" width="1.85546875" style="62" customWidth="1"/>
    <col min="12547" max="12547" width="59.85546875" style="62" customWidth="1"/>
    <col min="12548" max="12548" width="18" style="62" bestFit="1" customWidth="1"/>
    <col min="12549" max="12551" width="0" style="62" hidden="1" customWidth="1"/>
    <col min="12552" max="12552" width="2.140625" style="62" customWidth="1"/>
    <col min="12553" max="12553" width="18" style="62" bestFit="1" customWidth="1"/>
    <col min="12554" max="12800" width="9.140625" style="62"/>
    <col min="12801" max="12801" width="1.42578125" style="62" customWidth="1"/>
    <col min="12802" max="12802" width="1.85546875" style="62" customWidth="1"/>
    <col min="12803" max="12803" width="59.85546875" style="62" customWidth="1"/>
    <col min="12804" max="12804" width="18" style="62" bestFit="1" customWidth="1"/>
    <col min="12805" max="12807" width="0" style="62" hidden="1" customWidth="1"/>
    <col min="12808" max="12808" width="2.140625" style="62" customWidth="1"/>
    <col min="12809" max="12809" width="18" style="62" bestFit="1" customWidth="1"/>
    <col min="12810" max="13056" width="9.140625" style="62"/>
    <col min="13057" max="13057" width="1.42578125" style="62" customWidth="1"/>
    <col min="13058" max="13058" width="1.85546875" style="62" customWidth="1"/>
    <col min="13059" max="13059" width="59.85546875" style="62" customWidth="1"/>
    <col min="13060" max="13060" width="18" style="62" bestFit="1" customWidth="1"/>
    <col min="13061" max="13063" width="0" style="62" hidden="1" customWidth="1"/>
    <col min="13064" max="13064" width="2.140625" style="62" customWidth="1"/>
    <col min="13065" max="13065" width="18" style="62" bestFit="1" customWidth="1"/>
    <col min="13066" max="13312" width="9.140625" style="62"/>
    <col min="13313" max="13313" width="1.42578125" style="62" customWidth="1"/>
    <col min="13314" max="13314" width="1.85546875" style="62" customWidth="1"/>
    <col min="13315" max="13315" width="59.85546875" style="62" customWidth="1"/>
    <col min="13316" max="13316" width="18" style="62" bestFit="1" customWidth="1"/>
    <col min="13317" max="13319" width="0" style="62" hidden="1" customWidth="1"/>
    <col min="13320" max="13320" width="2.140625" style="62" customWidth="1"/>
    <col min="13321" max="13321" width="18" style="62" bestFit="1" customWidth="1"/>
    <col min="13322" max="13568" width="9.140625" style="62"/>
    <col min="13569" max="13569" width="1.42578125" style="62" customWidth="1"/>
    <col min="13570" max="13570" width="1.85546875" style="62" customWidth="1"/>
    <col min="13571" max="13571" width="59.85546875" style="62" customWidth="1"/>
    <col min="13572" max="13572" width="18" style="62" bestFit="1" customWidth="1"/>
    <col min="13573" max="13575" width="0" style="62" hidden="1" customWidth="1"/>
    <col min="13576" max="13576" width="2.140625" style="62" customWidth="1"/>
    <col min="13577" max="13577" width="18" style="62" bestFit="1" customWidth="1"/>
    <col min="13578" max="13824" width="9.140625" style="62"/>
    <col min="13825" max="13825" width="1.42578125" style="62" customWidth="1"/>
    <col min="13826" max="13826" width="1.85546875" style="62" customWidth="1"/>
    <col min="13827" max="13827" width="59.85546875" style="62" customWidth="1"/>
    <col min="13828" max="13828" width="18" style="62" bestFit="1" customWidth="1"/>
    <col min="13829" max="13831" width="0" style="62" hidden="1" customWidth="1"/>
    <col min="13832" max="13832" width="2.140625" style="62" customWidth="1"/>
    <col min="13833" max="13833" width="18" style="62" bestFit="1" customWidth="1"/>
    <col min="13834" max="14080" width="9.140625" style="62"/>
    <col min="14081" max="14081" width="1.42578125" style="62" customWidth="1"/>
    <col min="14082" max="14082" width="1.85546875" style="62" customWidth="1"/>
    <col min="14083" max="14083" width="59.85546875" style="62" customWidth="1"/>
    <col min="14084" max="14084" width="18" style="62" bestFit="1" customWidth="1"/>
    <col min="14085" max="14087" width="0" style="62" hidden="1" customWidth="1"/>
    <col min="14088" max="14088" width="2.140625" style="62" customWidth="1"/>
    <col min="14089" max="14089" width="18" style="62" bestFit="1" customWidth="1"/>
    <col min="14090" max="14336" width="9.140625" style="62"/>
    <col min="14337" max="14337" width="1.42578125" style="62" customWidth="1"/>
    <col min="14338" max="14338" width="1.85546875" style="62" customWidth="1"/>
    <col min="14339" max="14339" width="59.85546875" style="62" customWidth="1"/>
    <col min="14340" max="14340" width="18" style="62" bestFit="1" customWidth="1"/>
    <col min="14341" max="14343" width="0" style="62" hidden="1" customWidth="1"/>
    <col min="14344" max="14344" width="2.140625" style="62" customWidth="1"/>
    <col min="14345" max="14345" width="18" style="62" bestFit="1" customWidth="1"/>
    <col min="14346" max="14592" width="9.140625" style="62"/>
    <col min="14593" max="14593" width="1.42578125" style="62" customWidth="1"/>
    <col min="14594" max="14594" width="1.85546875" style="62" customWidth="1"/>
    <col min="14595" max="14595" width="59.85546875" style="62" customWidth="1"/>
    <col min="14596" max="14596" width="18" style="62" bestFit="1" customWidth="1"/>
    <col min="14597" max="14599" width="0" style="62" hidden="1" customWidth="1"/>
    <col min="14600" max="14600" width="2.140625" style="62" customWidth="1"/>
    <col min="14601" max="14601" width="18" style="62" bestFit="1" customWidth="1"/>
    <col min="14602" max="14848" width="9.140625" style="62"/>
    <col min="14849" max="14849" width="1.42578125" style="62" customWidth="1"/>
    <col min="14850" max="14850" width="1.85546875" style="62" customWidth="1"/>
    <col min="14851" max="14851" width="59.85546875" style="62" customWidth="1"/>
    <col min="14852" max="14852" width="18" style="62" bestFit="1" customWidth="1"/>
    <col min="14853" max="14855" width="0" style="62" hidden="1" customWidth="1"/>
    <col min="14856" max="14856" width="2.140625" style="62" customWidth="1"/>
    <col min="14857" max="14857" width="18" style="62" bestFit="1" customWidth="1"/>
    <col min="14858" max="15104" width="9.140625" style="62"/>
    <col min="15105" max="15105" width="1.42578125" style="62" customWidth="1"/>
    <col min="15106" max="15106" width="1.85546875" style="62" customWidth="1"/>
    <col min="15107" max="15107" width="59.85546875" style="62" customWidth="1"/>
    <col min="15108" max="15108" width="18" style="62" bestFit="1" customWidth="1"/>
    <col min="15109" max="15111" width="0" style="62" hidden="1" customWidth="1"/>
    <col min="15112" max="15112" width="2.140625" style="62" customWidth="1"/>
    <col min="15113" max="15113" width="18" style="62" bestFit="1" customWidth="1"/>
    <col min="15114" max="15360" width="9.140625" style="62"/>
    <col min="15361" max="15361" width="1.42578125" style="62" customWidth="1"/>
    <col min="15362" max="15362" width="1.85546875" style="62" customWidth="1"/>
    <col min="15363" max="15363" width="59.85546875" style="62" customWidth="1"/>
    <col min="15364" max="15364" width="18" style="62" bestFit="1" customWidth="1"/>
    <col min="15365" max="15367" width="0" style="62" hidden="1" customWidth="1"/>
    <col min="15368" max="15368" width="2.140625" style="62" customWidth="1"/>
    <col min="15369" max="15369" width="18" style="62" bestFit="1" customWidth="1"/>
    <col min="15370" max="15616" width="9.140625" style="62"/>
    <col min="15617" max="15617" width="1.42578125" style="62" customWidth="1"/>
    <col min="15618" max="15618" width="1.85546875" style="62" customWidth="1"/>
    <col min="15619" max="15619" width="59.85546875" style="62" customWidth="1"/>
    <col min="15620" max="15620" width="18" style="62" bestFit="1" customWidth="1"/>
    <col min="15621" max="15623" width="0" style="62" hidden="1" customWidth="1"/>
    <col min="15624" max="15624" width="2.140625" style="62" customWidth="1"/>
    <col min="15625" max="15625" width="18" style="62" bestFit="1" customWidth="1"/>
    <col min="15626" max="15872" width="9.140625" style="62"/>
    <col min="15873" max="15873" width="1.42578125" style="62" customWidth="1"/>
    <col min="15874" max="15874" width="1.85546875" style="62" customWidth="1"/>
    <col min="15875" max="15875" width="59.85546875" style="62" customWidth="1"/>
    <col min="15876" max="15876" width="18" style="62" bestFit="1" customWidth="1"/>
    <col min="15877" max="15879" width="0" style="62" hidden="1" customWidth="1"/>
    <col min="15880" max="15880" width="2.140625" style="62" customWidth="1"/>
    <col min="15881" max="15881" width="18" style="62" bestFit="1" customWidth="1"/>
    <col min="15882" max="16128" width="9.140625" style="62"/>
    <col min="16129" max="16129" width="1.42578125" style="62" customWidth="1"/>
    <col min="16130" max="16130" width="1.85546875" style="62" customWidth="1"/>
    <col min="16131" max="16131" width="59.85546875" style="62" customWidth="1"/>
    <col min="16132" max="16132" width="18" style="62" bestFit="1" customWidth="1"/>
    <col min="16133" max="16135" width="0" style="62" hidden="1" customWidth="1"/>
    <col min="16136" max="16136" width="2.140625" style="62" customWidth="1"/>
    <col min="16137" max="16137" width="18" style="62" bestFit="1" customWidth="1"/>
    <col min="16138" max="16384" width="9.140625" style="62"/>
  </cols>
  <sheetData>
    <row r="2" spans="3:12" hidden="1" x14ac:dyDescent="0.25"/>
    <row r="3" spans="3:12" hidden="1" x14ac:dyDescent="0.25">
      <c r="C3" s="158" t="s">
        <v>459</v>
      </c>
      <c r="D3" s="159">
        <f>SUM(D5:D9)</f>
        <v>146044090.48999998</v>
      </c>
      <c r="E3" s="157">
        <f>D3-'[1]Demonst Exec Financ Conciliado'!$J$89</f>
        <v>11470.639999955893</v>
      </c>
    </row>
    <row r="4" spans="3:12" hidden="1" x14ac:dyDescent="0.25"/>
    <row r="5" spans="3:12" hidden="1" x14ac:dyDescent="0.25">
      <c r="C5" s="102" t="s">
        <v>240</v>
      </c>
      <c r="D5" s="160">
        <f>[2]Janeiro!G1</f>
        <v>58285283.730000004</v>
      </c>
    </row>
    <row r="6" spans="3:12" hidden="1" x14ac:dyDescent="0.25">
      <c r="C6" s="102" t="s">
        <v>460</v>
      </c>
      <c r="D6" s="160">
        <v>8949.4699999913591</v>
      </c>
      <c r="G6" s="160">
        <f>D6+D5</f>
        <v>58294233.199999996</v>
      </c>
    </row>
    <row r="7" spans="3:12" hidden="1" x14ac:dyDescent="0.25">
      <c r="C7" s="62" t="s">
        <v>237</v>
      </c>
      <c r="D7" s="157">
        <f>[2]Fevereiro!G1</f>
        <v>88938685.99000001</v>
      </c>
    </row>
    <row r="8" spans="3:12" hidden="1" x14ac:dyDescent="0.25">
      <c r="C8" s="62" t="s">
        <v>461</v>
      </c>
      <c r="D8" s="157">
        <v>-1194723.55</v>
      </c>
      <c r="E8" s="62" t="s">
        <v>462</v>
      </c>
    </row>
    <row r="9" spans="3:12" hidden="1" x14ac:dyDescent="0.25">
      <c r="C9" s="62" t="s">
        <v>460</v>
      </c>
      <c r="D9" s="157">
        <v>5894.8500000014901</v>
      </c>
      <c r="G9" s="157">
        <f>SUM(D7:D9)</f>
        <v>87749857.290000021</v>
      </c>
    </row>
    <row r="11" spans="3:12" x14ac:dyDescent="0.25">
      <c r="C11" s="410" t="s">
        <v>463</v>
      </c>
      <c r="D11" s="410"/>
    </row>
    <row r="12" spans="3:12" x14ac:dyDescent="0.25">
      <c r="C12" s="410" t="s">
        <v>477</v>
      </c>
      <c r="D12" s="410"/>
    </row>
    <row r="14" spans="3:12" x14ac:dyDescent="0.25">
      <c r="C14" s="102" t="s">
        <v>478</v>
      </c>
      <c r="D14" s="160">
        <v>15778860.4</v>
      </c>
      <c r="I14" s="176">
        <v>614696055.65999997</v>
      </c>
    </row>
    <row r="15" spans="3:12" x14ac:dyDescent="0.25">
      <c r="C15" s="102" t="s">
        <v>464</v>
      </c>
      <c r="D15" s="160">
        <v>92936040.440000027</v>
      </c>
      <c r="I15" s="157"/>
      <c r="K15" s="177"/>
      <c r="L15" s="176"/>
    </row>
    <row r="16" spans="3:12" x14ac:dyDescent="0.25">
      <c r="C16" s="102" t="s">
        <v>465</v>
      </c>
      <c r="D16" s="160">
        <v>111528900.12</v>
      </c>
      <c r="I16" s="157">
        <f>D16+D15</f>
        <v>204464940.56000003</v>
      </c>
      <c r="K16" s="177"/>
      <c r="L16" s="178"/>
    </row>
    <row r="17" spans="3:12" x14ac:dyDescent="0.25">
      <c r="C17" s="102" t="s">
        <v>466</v>
      </c>
      <c r="D17" s="160">
        <v>901662.73</v>
      </c>
      <c r="I17" s="157">
        <f>D17+I16</f>
        <v>205366603.29000002</v>
      </c>
    </row>
    <row r="18" spans="3:12" x14ac:dyDescent="0.25">
      <c r="C18" s="102" t="s">
        <v>467</v>
      </c>
      <c r="D18" s="160">
        <v>-90916811.299999997</v>
      </c>
      <c r="L18" s="178"/>
    </row>
    <row r="19" spans="3:12" x14ac:dyDescent="0.25">
      <c r="C19" s="117" t="s">
        <v>468</v>
      </c>
      <c r="D19" s="174">
        <f>'Saldos - 02-2025'!F37</f>
        <v>-7459.99</v>
      </c>
      <c r="I19" s="92"/>
    </row>
    <row r="20" spans="3:12" x14ac:dyDescent="0.25">
      <c r="C20" s="106" t="s">
        <v>469</v>
      </c>
      <c r="D20" s="175">
        <f>D36</f>
        <v>13294.609999999404</v>
      </c>
      <c r="I20" s="94">
        <f>D19+D21+D22+D23</f>
        <v>-34193738.920000009</v>
      </c>
      <c r="K20" s="94"/>
      <c r="L20" s="178"/>
    </row>
    <row r="21" spans="3:12" x14ac:dyDescent="0.25">
      <c r="C21" s="117" t="s">
        <v>480</v>
      </c>
      <c r="D21" s="174">
        <v>-34175581.810000002</v>
      </c>
      <c r="I21" s="157"/>
    </row>
    <row r="22" spans="3:12" x14ac:dyDescent="0.25">
      <c r="C22" s="117" t="s">
        <v>481</v>
      </c>
      <c r="D22" s="174">
        <v>-10029.56</v>
      </c>
      <c r="L22" s="178"/>
    </row>
    <row r="23" spans="3:12" x14ac:dyDescent="0.25">
      <c r="C23" s="117" t="s">
        <v>482</v>
      </c>
      <c r="D23" s="174">
        <v>-667.56</v>
      </c>
      <c r="L23" s="176"/>
    </row>
    <row r="24" spans="3:12" x14ac:dyDescent="0.25">
      <c r="I24" s="157"/>
    </row>
    <row r="27" spans="3:12" x14ac:dyDescent="0.25">
      <c r="C27" s="161" t="s">
        <v>470</v>
      </c>
      <c r="D27" s="162">
        <f>SUM(D14:D26)</f>
        <v>96048208.080000028</v>
      </c>
    </row>
    <row r="29" spans="3:12" x14ac:dyDescent="0.25">
      <c r="C29" s="161" t="s">
        <v>479</v>
      </c>
      <c r="D29" s="162">
        <f>'Saldos - 02-2025'!E50</f>
        <v>96048208.069999993</v>
      </c>
    </row>
    <row r="31" spans="3:12" x14ac:dyDescent="0.25">
      <c r="C31" s="163" t="s">
        <v>471</v>
      </c>
      <c r="D31" s="164">
        <f>D27-D29</f>
        <v>1.0000035166740417E-2</v>
      </c>
      <c r="H31" s="157"/>
    </row>
    <row r="33" spans="3:4" x14ac:dyDescent="0.25">
      <c r="C33" s="165"/>
      <c r="D33" s="166"/>
    </row>
    <row r="34" spans="3:4" x14ac:dyDescent="0.25">
      <c r="C34" s="167" t="s">
        <v>472</v>
      </c>
      <c r="D34" s="168">
        <f>D35+13294.61</f>
        <v>34324662.100000001</v>
      </c>
    </row>
    <row r="35" spans="3:4" x14ac:dyDescent="0.25">
      <c r="C35" s="167" t="s">
        <v>473</v>
      </c>
      <c r="D35" s="168">
        <v>34311367.490000002</v>
      </c>
    </row>
    <row r="36" spans="3:4" x14ac:dyDescent="0.25">
      <c r="C36" s="169"/>
      <c r="D36" s="170">
        <f>D34-D35</f>
        <v>13294.609999999404</v>
      </c>
    </row>
    <row r="37" spans="3:4" ht="7.5" customHeight="1" x14ac:dyDescent="0.25">
      <c r="C37" s="169"/>
      <c r="D37" s="168"/>
    </row>
    <row r="38" spans="3:4" x14ac:dyDescent="0.25">
      <c r="C38" s="167" t="s">
        <v>474</v>
      </c>
      <c r="D38" s="168"/>
    </row>
    <row r="39" spans="3:4" x14ac:dyDescent="0.25">
      <c r="C39" s="167" t="s">
        <v>475</v>
      </c>
      <c r="D39" s="168"/>
    </row>
    <row r="40" spans="3:4" x14ac:dyDescent="0.25">
      <c r="C40" s="169"/>
      <c r="D40" s="170">
        <f>D38-D39</f>
        <v>0</v>
      </c>
    </row>
    <row r="41" spans="3:4" ht="6.75" customHeight="1" x14ac:dyDescent="0.25">
      <c r="C41" s="169"/>
      <c r="D41" s="168"/>
    </row>
    <row r="42" spans="3:4" x14ac:dyDescent="0.25">
      <c r="C42" s="171" t="s">
        <v>476</v>
      </c>
      <c r="D42" s="170">
        <f>D36+D40</f>
        <v>13294.609999999404</v>
      </c>
    </row>
    <row r="43" spans="3:4" x14ac:dyDescent="0.25">
      <c r="C43" s="172"/>
      <c r="D43" s="173"/>
    </row>
  </sheetData>
  <mergeCells count="2">
    <mergeCell ref="C11:D11"/>
    <mergeCell ref="C12:D12"/>
  </mergeCells>
  <pageMargins left="0.511811024" right="0.511811024" top="0.78740157499999996" bottom="0.78740157499999996" header="0.31496062000000002" footer="0.31496062000000002"/>
  <pageSetup paperSize="9" scale="9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40DB-D4E7-4375-911C-4A40F4657622}">
  <dimension ref="B2:H51"/>
  <sheetViews>
    <sheetView topLeftCell="A15" zoomScaleNormal="100" workbookViewId="0">
      <selection activeCell="F46" sqref="F46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16.85546875" style="62" bestFit="1" customWidth="1"/>
    <col min="9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6" x14ac:dyDescent="0.25">
      <c r="B2" s="407" t="s">
        <v>436</v>
      </c>
      <c r="C2" s="407"/>
      <c r="D2" s="407"/>
      <c r="E2" s="407"/>
      <c r="F2" s="407"/>
    </row>
    <row r="3" spans="2:6" ht="15.75" thickBot="1" x14ac:dyDescent="0.3">
      <c r="B3" s="96"/>
      <c r="C3" s="96"/>
      <c r="D3" s="96"/>
      <c r="E3" s="97"/>
      <c r="F3" s="96"/>
    </row>
    <row r="4" spans="2:6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6" x14ac:dyDescent="0.25">
      <c r="B5" s="408" t="s">
        <v>404</v>
      </c>
      <c r="C5" s="409"/>
      <c r="D5" s="409"/>
      <c r="E5" s="103">
        <v>67206.180000000008</v>
      </c>
      <c r="F5" s="104">
        <f>E5+'Saldos - 01-2025'!F5</f>
        <v>126575.28</v>
      </c>
    </row>
    <row r="6" spans="2:6" x14ac:dyDescent="0.25">
      <c r="B6" s="401" t="s">
        <v>405</v>
      </c>
      <c r="C6" s="402"/>
      <c r="D6" s="402"/>
      <c r="E6" s="105"/>
      <c r="F6" s="104">
        <f>E6+'Saldos - 01-2025'!F6</f>
        <v>1477881.77</v>
      </c>
    </row>
    <row r="7" spans="2:6" x14ac:dyDescent="0.25">
      <c r="B7" s="401" t="s">
        <v>406</v>
      </c>
      <c r="C7" s="402"/>
      <c r="D7" s="402"/>
      <c r="E7" s="105">
        <v>97471124.090000004</v>
      </c>
      <c r="F7" s="104">
        <f>E7+'Saldos - 01-2025'!F7</f>
        <v>171623790.06</v>
      </c>
    </row>
    <row r="8" spans="2:6" x14ac:dyDescent="0.25">
      <c r="B8" s="401" t="s">
        <v>407</v>
      </c>
      <c r="C8" s="402"/>
      <c r="D8" s="402"/>
      <c r="E8" s="105">
        <v>12205256.42</v>
      </c>
      <c r="F8" s="104">
        <f>E8+'Saldos - 01-2025'!F8</f>
        <v>29596941.090000004</v>
      </c>
    </row>
    <row r="9" spans="2:6" x14ac:dyDescent="0.25">
      <c r="B9" s="401" t="s">
        <v>408</v>
      </c>
      <c r="C9" s="402"/>
      <c r="D9" s="402"/>
      <c r="E9" s="105">
        <v>1721670.1900000002</v>
      </c>
      <c r="F9" s="104">
        <f>E9+'Saldos - 01-2025'!F9</f>
        <v>1756018.9300000002</v>
      </c>
    </row>
    <row r="10" spans="2:6" x14ac:dyDescent="0.25">
      <c r="B10" s="401" t="s">
        <v>409</v>
      </c>
      <c r="C10" s="402"/>
      <c r="D10" s="402"/>
      <c r="E10" s="105">
        <v>104850.78</v>
      </c>
      <c r="F10" s="104">
        <f>E10+'Saldos - 01-2025'!F10</f>
        <v>125706.44</v>
      </c>
    </row>
    <row r="11" spans="2:6" x14ac:dyDescent="0.25">
      <c r="B11" s="401" t="s">
        <v>410</v>
      </c>
      <c r="C11" s="402"/>
      <c r="D11" s="402"/>
      <c r="E11" s="105">
        <v>1324</v>
      </c>
      <c r="F11" s="104">
        <f>E11+'Saldos - 01-2025'!F11</f>
        <v>2776.04</v>
      </c>
    </row>
    <row r="12" spans="2:6" x14ac:dyDescent="0.25">
      <c r="B12" s="403" t="s">
        <v>411</v>
      </c>
      <c r="C12" s="404"/>
      <c r="D12" s="404"/>
      <c r="E12" s="107">
        <v>111.18</v>
      </c>
      <c r="F12" s="108">
        <f>E12+'Saldos - 01-2025'!F12</f>
        <v>111.18</v>
      </c>
    </row>
    <row r="13" spans="2:6" ht="15.75" thickBot="1" x14ac:dyDescent="0.3">
      <c r="B13" s="405" t="s">
        <v>412</v>
      </c>
      <c r="C13" s="406"/>
      <c r="D13" s="406"/>
      <c r="E13" s="110">
        <v>74165623.599999994</v>
      </c>
      <c r="F13" s="111">
        <f>E13+'Saldos - 01-2025'!F13</f>
        <v>124255573.88999999</v>
      </c>
    </row>
    <row r="14" spans="2:6" ht="15.75" thickBot="1" x14ac:dyDescent="0.3">
      <c r="B14" s="399" t="s">
        <v>413</v>
      </c>
      <c r="C14" s="400"/>
      <c r="D14" s="400"/>
      <c r="E14" s="100">
        <f>SUM(E5:E13)</f>
        <v>185737166.44</v>
      </c>
      <c r="F14" s="100">
        <f>SUM(F5:F13)</f>
        <v>328965374.68000001</v>
      </c>
    </row>
    <row r="15" spans="2:6" x14ac:dyDescent="0.25">
      <c r="B15" s="393" t="s">
        <v>414</v>
      </c>
      <c r="C15" s="394"/>
      <c r="D15" s="394"/>
      <c r="E15" s="112">
        <v>-42531.54</v>
      </c>
      <c r="F15" s="113">
        <f>E15+'Saldos - 01-2025'!F15</f>
        <v>-80103.360000000001</v>
      </c>
    </row>
    <row r="16" spans="2:6" x14ac:dyDescent="0.25">
      <c r="B16" s="395" t="s">
        <v>415</v>
      </c>
      <c r="C16" s="396"/>
      <c r="D16" s="396"/>
      <c r="E16" s="114">
        <v>-111.18</v>
      </c>
      <c r="F16" s="115">
        <f>E16+'Saldos - 01-2025'!F16</f>
        <v>-111.18</v>
      </c>
    </row>
    <row r="17" spans="2:8" x14ac:dyDescent="0.25">
      <c r="B17" s="397" t="s">
        <v>439</v>
      </c>
      <c r="C17" s="398"/>
      <c r="D17" s="398"/>
      <c r="E17" s="110">
        <v>-74165623.599999994</v>
      </c>
      <c r="F17" s="119">
        <f>E17+'Saldos - 01-2025'!F17</f>
        <v>-124255573.88999999</v>
      </c>
    </row>
    <row r="18" spans="2:8" ht="15.75" thickBot="1" x14ac:dyDescent="0.3">
      <c r="B18" s="367" t="s">
        <v>440</v>
      </c>
      <c r="C18" s="368"/>
      <c r="D18" s="368"/>
      <c r="E18" s="120">
        <v>0</v>
      </c>
      <c r="F18" s="121">
        <f>E18+'Saldos - 01-2025'!F18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111528900.12</v>
      </c>
      <c r="F19" s="122">
        <f>SUM(F14:F18)</f>
        <v>204464940.56</v>
      </c>
      <c r="G19" s="123"/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42531.54</v>
      </c>
      <c r="F22" s="130">
        <f>E22+'Saldos - 01-2025'!F22</f>
        <v>80103.359999999986</v>
      </c>
    </row>
    <row r="23" spans="2:8" x14ac:dyDescent="0.25">
      <c r="B23" s="383" t="s">
        <v>442</v>
      </c>
      <c r="C23" s="384"/>
      <c r="D23" s="384"/>
      <c r="E23" s="109"/>
      <c r="F23" s="131">
        <f>E23+'Saldos - 01-2025'!F23</f>
        <v>0</v>
      </c>
    </row>
    <row r="24" spans="2:8" x14ac:dyDescent="0.25">
      <c r="B24" s="385" t="s">
        <v>438</v>
      </c>
      <c r="C24" s="386"/>
      <c r="D24" s="386"/>
      <c r="E24" s="132">
        <v>40814617.810000002</v>
      </c>
      <c r="F24" s="133">
        <f>E24+'Saldos - 01-2025'!F24</f>
        <v>40893717.219999999</v>
      </c>
    </row>
    <row r="25" spans="2:8" x14ac:dyDescent="0.25">
      <c r="B25" s="385" t="s">
        <v>433</v>
      </c>
      <c r="C25" s="386"/>
      <c r="D25" s="386"/>
      <c r="E25" s="132">
        <v>0</v>
      </c>
      <c r="F25" s="133">
        <f>E25+'Saldos - 01-2025'!F25</f>
        <v>34311367.489999995</v>
      </c>
    </row>
    <row r="26" spans="2:8" x14ac:dyDescent="0.25">
      <c r="B26" s="385" t="s">
        <v>447</v>
      </c>
      <c r="C26" s="386"/>
      <c r="D26" s="386"/>
      <c r="E26" s="132">
        <v>34175581.810000002</v>
      </c>
      <c r="F26" s="133">
        <f>E26</f>
        <v>34175581.810000002</v>
      </c>
    </row>
    <row r="27" spans="2:8" x14ac:dyDescent="0.25">
      <c r="B27" s="385" t="s">
        <v>448</v>
      </c>
      <c r="C27" s="386"/>
      <c r="D27" s="386"/>
      <c r="E27" s="132">
        <v>0</v>
      </c>
      <c r="F27" s="133">
        <f>E27+'Saldos - 01-2025'!F26</f>
        <v>15697875.6</v>
      </c>
    </row>
    <row r="28" spans="2:8" x14ac:dyDescent="0.25">
      <c r="B28" s="385" t="s">
        <v>449</v>
      </c>
      <c r="C28" s="386"/>
      <c r="D28" s="386"/>
      <c r="E28" s="132">
        <v>0</v>
      </c>
      <c r="F28" s="133">
        <f>E28+'Saldos - 01-2025'!F27</f>
        <v>164645.69</v>
      </c>
    </row>
    <row r="29" spans="2:8" x14ac:dyDescent="0.25">
      <c r="B29" s="385" t="s">
        <v>450</v>
      </c>
      <c r="C29" s="386"/>
      <c r="D29" s="386"/>
      <c r="E29" s="154">
        <v>667.56</v>
      </c>
      <c r="F29" s="133">
        <f>E29+'Saldos - 01-2025'!F28</f>
        <v>1335.12</v>
      </c>
    </row>
    <row r="30" spans="2:8" x14ac:dyDescent="0.25">
      <c r="B30" s="385" t="s">
        <v>452</v>
      </c>
      <c r="C30" s="386"/>
      <c r="D30" s="386"/>
      <c r="E30" s="154">
        <v>10029.56</v>
      </c>
      <c r="F30" s="133">
        <f>E30</f>
        <v>10029.56</v>
      </c>
    </row>
    <row r="31" spans="2:8" x14ac:dyDescent="0.25">
      <c r="B31" s="387" t="s">
        <v>451</v>
      </c>
      <c r="C31" s="388"/>
      <c r="D31" s="388"/>
      <c r="E31" s="134">
        <v>1831.28</v>
      </c>
      <c r="F31" s="135">
        <f>E31+'Saldos - 01-2025'!F29</f>
        <v>7459.99</v>
      </c>
    </row>
    <row r="32" spans="2:8" ht="15.75" thickBot="1" x14ac:dyDescent="0.3">
      <c r="B32" s="389" t="s">
        <v>444</v>
      </c>
      <c r="C32" s="390"/>
      <c r="D32" s="390"/>
      <c r="E32" s="136">
        <v>110691906.88</v>
      </c>
      <c r="F32" s="137">
        <f>E32+'Saldos - 01-2025'!F30</f>
        <v>203623258.84</v>
      </c>
    </row>
    <row r="33" spans="2:8" ht="15.75" thickBot="1" x14ac:dyDescent="0.3">
      <c r="B33" s="391" t="s">
        <v>418</v>
      </c>
      <c r="C33" s="392"/>
      <c r="D33" s="392"/>
      <c r="E33" s="127">
        <f>SUM(E22:E32)</f>
        <v>185737166.44</v>
      </c>
      <c r="F33" s="138">
        <f>SUM(F22:F32)</f>
        <v>328965374.68000001</v>
      </c>
      <c r="G33" s="123"/>
      <c r="H33" s="123"/>
    </row>
    <row r="34" spans="2:8" x14ac:dyDescent="0.25">
      <c r="B34" s="374" t="s">
        <v>419</v>
      </c>
      <c r="C34" s="375"/>
      <c r="D34" s="376"/>
      <c r="E34" s="112">
        <f>-E22</f>
        <v>-42531.54</v>
      </c>
      <c r="F34" s="139">
        <f>E34+'Saldos - 01-2025'!F32</f>
        <v>-80103.359999999986</v>
      </c>
    </row>
    <row r="35" spans="2:8" x14ac:dyDescent="0.25">
      <c r="B35" s="377" t="s">
        <v>420</v>
      </c>
      <c r="C35" s="378"/>
      <c r="D35" s="379"/>
      <c r="E35" s="118">
        <f>-E32</f>
        <v>-110691906.88</v>
      </c>
      <c r="F35" s="140">
        <f>E35+'Saldos - 01-2025'!F33</f>
        <v>-203623258.84</v>
      </c>
    </row>
    <row r="36" spans="2:8" x14ac:dyDescent="0.25">
      <c r="B36" s="367" t="s">
        <v>454</v>
      </c>
      <c r="C36" s="368"/>
      <c r="D36" s="368"/>
      <c r="E36" s="109">
        <v>-111.18</v>
      </c>
      <c r="F36" s="141">
        <f>E36+'Saldos - 01-2025'!F34</f>
        <v>-111.18</v>
      </c>
    </row>
    <row r="37" spans="2:8" x14ac:dyDescent="0.25">
      <c r="B37" s="380" t="s">
        <v>453</v>
      </c>
      <c r="C37" s="381"/>
      <c r="D37" s="382"/>
      <c r="E37" s="134">
        <f>-E31</f>
        <v>-1831.28</v>
      </c>
      <c r="F37" s="155">
        <f>E37+'Saldos - 01-2025'!F35</f>
        <v>-7459.99</v>
      </c>
    </row>
    <row r="38" spans="2:8" x14ac:dyDescent="0.25">
      <c r="B38" s="383" t="s">
        <v>423</v>
      </c>
      <c r="C38" s="384"/>
      <c r="D38" s="384"/>
      <c r="E38" s="116">
        <f>-E26</f>
        <v>-34175581.810000002</v>
      </c>
      <c r="F38" s="143">
        <f>E38</f>
        <v>-34175581.810000002</v>
      </c>
    </row>
    <row r="39" spans="2:8" x14ac:dyDescent="0.25">
      <c r="B39" s="383" t="s">
        <v>455</v>
      </c>
      <c r="C39" s="384"/>
      <c r="D39" s="384"/>
      <c r="E39" s="116">
        <v>0</v>
      </c>
      <c r="F39" s="143">
        <f>E39+'Saldos - 01-2025'!F38</f>
        <v>-164645.69</v>
      </c>
    </row>
    <row r="40" spans="2:8" x14ac:dyDescent="0.25">
      <c r="B40" s="383" t="s">
        <v>458</v>
      </c>
      <c r="C40" s="384"/>
      <c r="D40" s="384"/>
      <c r="E40" s="116">
        <f>-E30</f>
        <v>-10029.56</v>
      </c>
      <c r="F40" s="143">
        <f>E40</f>
        <v>-10029.56</v>
      </c>
    </row>
    <row r="41" spans="2:8" ht="15.75" customHeight="1" x14ac:dyDescent="0.25">
      <c r="B41" s="367" t="s">
        <v>456</v>
      </c>
      <c r="C41" s="368"/>
      <c r="D41" s="368"/>
      <c r="E41" s="116">
        <v>0</v>
      </c>
      <c r="F41" s="143">
        <f>(E41+'Saldos - 01-2025'!F37)</f>
        <v>13294.61</v>
      </c>
    </row>
    <row r="42" spans="2:8" x14ac:dyDescent="0.25">
      <c r="B42" s="367" t="s">
        <v>483</v>
      </c>
      <c r="C42" s="368"/>
      <c r="D42" s="368"/>
      <c r="E42" s="116">
        <v>-667.56</v>
      </c>
      <c r="F42" s="143">
        <f>E42</f>
        <v>-667.56</v>
      </c>
      <c r="H42" s="123"/>
    </row>
    <row r="43" spans="2:8" ht="15.75" thickBot="1" x14ac:dyDescent="0.3">
      <c r="B43" s="369" t="s">
        <v>424</v>
      </c>
      <c r="C43" s="369"/>
      <c r="D43" s="370"/>
      <c r="E43" s="145">
        <f>SUM(E33:E42)</f>
        <v>40814506.629999995</v>
      </c>
      <c r="F43" s="146">
        <f>SUM(F33:F42)</f>
        <v>90916811.299999982</v>
      </c>
      <c r="H43" s="123"/>
    </row>
    <row r="44" spans="2:8" x14ac:dyDescent="0.25">
      <c r="B44" s="124"/>
      <c r="D44" s="125"/>
      <c r="E44" s="147"/>
      <c r="F44" s="123"/>
    </row>
    <row r="45" spans="2:8" x14ac:dyDescent="0.25">
      <c r="B45" s="371" t="s">
        <v>425</v>
      </c>
      <c r="C45" s="372"/>
      <c r="D45" s="373"/>
      <c r="E45" s="148"/>
      <c r="F45" s="123"/>
    </row>
    <row r="46" spans="2:8" x14ac:dyDescent="0.25">
      <c r="B46" s="364" t="s">
        <v>426</v>
      </c>
      <c r="C46" s="365"/>
      <c r="D46" s="366"/>
      <c r="E46" s="149">
        <v>58872254.189999998</v>
      </c>
      <c r="F46" s="123"/>
    </row>
    <row r="47" spans="2:8" x14ac:dyDescent="0.25">
      <c r="B47" s="364" t="s">
        <v>427</v>
      </c>
      <c r="C47" s="365"/>
      <c r="D47" s="366"/>
      <c r="E47" s="150">
        <v>110691906.88</v>
      </c>
    </row>
    <row r="48" spans="2:8" x14ac:dyDescent="0.25">
      <c r="B48" s="364" t="s">
        <v>428</v>
      </c>
      <c r="C48" s="365"/>
      <c r="D48" s="366"/>
      <c r="E48" s="149">
        <v>74165623.599999994</v>
      </c>
    </row>
    <row r="49" spans="2:6" x14ac:dyDescent="0.25">
      <c r="B49" s="364" t="s">
        <v>429</v>
      </c>
      <c r="C49" s="365"/>
      <c r="D49" s="366"/>
      <c r="E49" s="149">
        <v>649670.6</v>
      </c>
      <c r="F49" s="94"/>
    </row>
    <row r="50" spans="2:6" x14ac:dyDescent="0.25">
      <c r="B50" s="364" t="s">
        <v>430</v>
      </c>
      <c r="C50" s="365"/>
      <c r="D50" s="366"/>
      <c r="E50" s="151">
        <f>E46+E47-E48+E49</f>
        <v>96048208.069999993</v>
      </c>
      <c r="F50" s="123"/>
    </row>
    <row r="51" spans="2:6" x14ac:dyDescent="0.25">
      <c r="B51" s="152"/>
      <c r="C51" s="93"/>
      <c r="D51" s="93"/>
      <c r="E51" s="153"/>
    </row>
  </sheetData>
  <mergeCells count="45">
    <mergeCell ref="B9:D9"/>
    <mergeCell ref="B2:F2"/>
    <mergeCell ref="B5:D5"/>
    <mergeCell ref="B6:D6"/>
    <mergeCell ref="B7:D7"/>
    <mergeCell ref="B8:D8"/>
    <mergeCell ref="B10:D10"/>
    <mergeCell ref="B11:D11"/>
    <mergeCell ref="B12:D12"/>
    <mergeCell ref="B13:D13"/>
    <mergeCell ref="B14:D14"/>
    <mergeCell ref="B27:D27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38:D38"/>
    <mergeCell ref="B28:D28"/>
    <mergeCell ref="B29:D29"/>
    <mergeCell ref="B31:D31"/>
    <mergeCell ref="B32:D32"/>
    <mergeCell ref="B33:D33"/>
    <mergeCell ref="B34:D34"/>
    <mergeCell ref="B48:D48"/>
    <mergeCell ref="B49:D49"/>
    <mergeCell ref="B50:D50"/>
    <mergeCell ref="B26:D26"/>
    <mergeCell ref="B30:D30"/>
    <mergeCell ref="B39:D39"/>
    <mergeCell ref="B40:D40"/>
    <mergeCell ref="B41:D41"/>
    <mergeCell ref="B42:D42"/>
    <mergeCell ref="B43:D43"/>
    <mergeCell ref="B45:D45"/>
    <mergeCell ref="B46:D46"/>
    <mergeCell ref="B47:D47"/>
    <mergeCell ref="B35:D35"/>
    <mergeCell ref="B36:D36"/>
    <mergeCell ref="B37:D37"/>
  </mergeCells>
  <pageMargins left="0.511811024" right="0.511811024" top="0.78740157499999996" bottom="0.78740157499999996" header="0.31496062000000002" footer="0.31496062000000002"/>
  <pageSetup paperSize="9" orientation="landscape" r:id="rId1"/>
  <ignoredErrors>
    <ignoredError sqref="F41 F3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3647-0DFB-4123-A976-D2D83F190390}">
  <sheetPr filterMode="1"/>
  <dimension ref="A1:G70"/>
  <sheetViews>
    <sheetView zoomScale="115" zoomScaleNormal="115" workbookViewId="0">
      <selection activeCell="D2" sqref="D2"/>
    </sheetView>
  </sheetViews>
  <sheetFormatPr defaultRowHeight="12.75" x14ac:dyDescent="0.2"/>
  <cols>
    <col min="1" max="1" width="16.5703125" style="66" customWidth="1"/>
    <col min="2" max="2" width="14.42578125" style="66" customWidth="1"/>
    <col min="3" max="3" width="37.5703125" style="66" customWidth="1"/>
    <col min="4" max="4" width="15" style="81" bestFit="1" customWidth="1"/>
    <col min="5" max="5" width="21.28515625" style="72" customWidth="1"/>
    <col min="6" max="6" width="14" style="72" customWidth="1"/>
    <col min="7" max="7" width="11.7109375" style="66" customWidth="1"/>
    <col min="8" max="256" width="9.140625" style="66"/>
    <col min="257" max="257" width="16.5703125" style="66" customWidth="1"/>
    <col min="258" max="258" width="14.42578125" style="66" customWidth="1"/>
    <col min="259" max="259" width="44.42578125" style="66" customWidth="1"/>
    <col min="260" max="260" width="14" style="66" bestFit="1" customWidth="1"/>
    <col min="261" max="512" width="9.140625" style="66"/>
    <col min="513" max="513" width="16.5703125" style="66" customWidth="1"/>
    <col min="514" max="514" width="14.42578125" style="66" customWidth="1"/>
    <col min="515" max="515" width="44.42578125" style="66" customWidth="1"/>
    <col min="516" max="516" width="14" style="66" bestFit="1" customWidth="1"/>
    <col min="517" max="768" width="9.140625" style="66"/>
    <col min="769" max="769" width="16.5703125" style="66" customWidth="1"/>
    <col min="770" max="770" width="14.42578125" style="66" customWidth="1"/>
    <col min="771" max="771" width="44.42578125" style="66" customWidth="1"/>
    <col min="772" max="772" width="14" style="66" bestFit="1" customWidth="1"/>
    <col min="773" max="1024" width="9.140625" style="66"/>
    <col min="1025" max="1025" width="16.5703125" style="66" customWidth="1"/>
    <col min="1026" max="1026" width="14.42578125" style="66" customWidth="1"/>
    <col min="1027" max="1027" width="44.42578125" style="66" customWidth="1"/>
    <col min="1028" max="1028" width="14" style="66" bestFit="1" customWidth="1"/>
    <col min="1029" max="1280" width="9.140625" style="66"/>
    <col min="1281" max="1281" width="16.5703125" style="66" customWidth="1"/>
    <col min="1282" max="1282" width="14.42578125" style="66" customWidth="1"/>
    <col min="1283" max="1283" width="44.42578125" style="66" customWidth="1"/>
    <col min="1284" max="1284" width="14" style="66" bestFit="1" customWidth="1"/>
    <col min="1285" max="1536" width="9.140625" style="66"/>
    <col min="1537" max="1537" width="16.5703125" style="66" customWidth="1"/>
    <col min="1538" max="1538" width="14.42578125" style="66" customWidth="1"/>
    <col min="1539" max="1539" width="44.42578125" style="66" customWidth="1"/>
    <col min="1540" max="1540" width="14" style="66" bestFit="1" customWidth="1"/>
    <col min="1541" max="1792" width="9.140625" style="66"/>
    <col min="1793" max="1793" width="16.5703125" style="66" customWidth="1"/>
    <col min="1794" max="1794" width="14.42578125" style="66" customWidth="1"/>
    <col min="1795" max="1795" width="44.42578125" style="66" customWidth="1"/>
    <col min="1796" max="1796" width="14" style="66" bestFit="1" customWidth="1"/>
    <col min="1797" max="2048" width="9.140625" style="66"/>
    <col min="2049" max="2049" width="16.5703125" style="66" customWidth="1"/>
    <col min="2050" max="2050" width="14.42578125" style="66" customWidth="1"/>
    <col min="2051" max="2051" width="44.42578125" style="66" customWidth="1"/>
    <col min="2052" max="2052" width="14" style="66" bestFit="1" customWidth="1"/>
    <col min="2053" max="2304" width="9.140625" style="66"/>
    <col min="2305" max="2305" width="16.5703125" style="66" customWidth="1"/>
    <col min="2306" max="2306" width="14.42578125" style="66" customWidth="1"/>
    <col min="2307" max="2307" width="44.42578125" style="66" customWidth="1"/>
    <col min="2308" max="2308" width="14" style="66" bestFit="1" customWidth="1"/>
    <col min="2309" max="2560" width="9.140625" style="66"/>
    <col min="2561" max="2561" width="16.5703125" style="66" customWidth="1"/>
    <col min="2562" max="2562" width="14.42578125" style="66" customWidth="1"/>
    <col min="2563" max="2563" width="44.42578125" style="66" customWidth="1"/>
    <col min="2564" max="2564" width="14" style="66" bestFit="1" customWidth="1"/>
    <col min="2565" max="2816" width="9.140625" style="66"/>
    <col min="2817" max="2817" width="16.5703125" style="66" customWidth="1"/>
    <col min="2818" max="2818" width="14.42578125" style="66" customWidth="1"/>
    <col min="2819" max="2819" width="44.42578125" style="66" customWidth="1"/>
    <col min="2820" max="2820" width="14" style="66" bestFit="1" customWidth="1"/>
    <col min="2821" max="3072" width="9.140625" style="66"/>
    <col min="3073" max="3073" width="16.5703125" style="66" customWidth="1"/>
    <col min="3074" max="3074" width="14.42578125" style="66" customWidth="1"/>
    <col min="3075" max="3075" width="44.42578125" style="66" customWidth="1"/>
    <col min="3076" max="3076" width="14" style="66" bestFit="1" customWidth="1"/>
    <col min="3077" max="3328" width="9.140625" style="66"/>
    <col min="3329" max="3329" width="16.5703125" style="66" customWidth="1"/>
    <col min="3330" max="3330" width="14.42578125" style="66" customWidth="1"/>
    <col min="3331" max="3331" width="44.42578125" style="66" customWidth="1"/>
    <col min="3332" max="3332" width="14" style="66" bestFit="1" customWidth="1"/>
    <col min="3333" max="3584" width="9.140625" style="66"/>
    <col min="3585" max="3585" width="16.5703125" style="66" customWidth="1"/>
    <col min="3586" max="3586" width="14.42578125" style="66" customWidth="1"/>
    <col min="3587" max="3587" width="44.42578125" style="66" customWidth="1"/>
    <col min="3588" max="3588" width="14" style="66" bestFit="1" customWidth="1"/>
    <col min="3589" max="3840" width="9.140625" style="66"/>
    <col min="3841" max="3841" width="16.5703125" style="66" customWidth="1"/>
    <col min="3842" max="3842" width="14.42578125" style="66" customWidth="1"/>
    <col min="3843" max="3843" width="44.42578125" style="66" customWidth="1"/>
    <col min="3844" max="3844" width="14" style="66" bestFit="1" customWidth="1"/>
    <col min="3845" max="4096" width="9.140625" style="66"/>
    <col min="4097" max="4097" width="16.5703125" style="66" customWidth="1"/>
    <col min="4098" max="4098" width="14.42578125" style="66" customWidth="1"/>
    <col min="4099" max="4099" width="44.42578125" style="66" customWidth="1"/>
    <col min="4100" max="4100" width="14" style="66" bestFit="1" customWidth="1"/>
    <col min="4101" max="4352" width="9.140625" style="66"/>
    <col min="4353" max="4353" width="16.5703125" style="66" customWidth="1"/>
    <col min="4354" max="4354" width="14.42578125" style="66" customWidth="1"/>
    <col min="4355" max="4355" width="44.42578125" style="66" customWidth="1"/>
    <col min="4356" max="4356" width="14" style="66" bestFit="1" customWidth="1"/>
    <col min="4357" max="4608" width="9.140625" style="66"/>
    <col min="4609" max="4609" width="16.5703125" style="66" customWidth="1"/>
    <col min="4610" max="4610" width="14.42578125" style="66" customWidth="1"/>
    <col min="4611" max="4611" width="44.42578125" style="66" customWidth="1"/>
    <col min="4612" max="4612" width="14" style="66" bestFit="1" customWidth="1"/>
    <col min="4613" max="4864" width="9.140625" style="66"/>
    <col min="4865" max="4865" width="16.5703125" style="66" customWidth="1"/>
    <col min="4866" max="4866" width="14.42578125" style="66" customWidth="1"/>
    <col min="4867" max="4867" width="44.42578125" style="66" customWidth="1"/>
    <col min="4868" max="4868" width="14" style="66" bestFit="1" customWidth="1"/>
    <col min="4869" max="5120" width="9.140625" style="66"/>
    <col min="5121" max="5121" width="16.5703125" style="66" customWidth="1"/>
    <col min="5122" max="5122" width="14.42578125" style="66" customWidth="1"/>
    <col min="5123" max="5123" width="44.42578125" style="66" customWidth="1"/>
    <col min="5124" max="5124" width="14" style="66" bestFit="1" customWidth="1"/>
    <col min="5125" max="5376" width="9.140625" style="66"/>
    <col min="5377" max="5377" width="16.5703125" style="66" customWidth="1"/>
    <col min="5378" max="5378" width="14.42578125" style="66" customWidth="1"/>
    <col min="5379" max="5379" width="44.42578125" style="66" customWidth="1"/>
    <col min="5380" max="5380" width="14" style="66" bestFit="1" customWidth="1"/>
    <col min="5381" max="5632" width="9.140625" style="66"/>
    <col min="5633" max="5633" width="16.5703125" style="66" customWidth="1"/>
    <col min="5634" max="5634" width="14.42578125" style="66" customWidth="1"/>
    <col min="5635" max="5635" width="44.42578125" style="66" customWidth="1"/>
    <col min="5636" max="5636" width="14" style="66" bestFit="1" customWidth="1"/>
    <col min="5637" max="5888" width="9.140625" style="66"/>
    <col min="5889" max="5889" width="16.5703125" style="66" customWidth="1"/>
    <col min="5890" max="5890" width="14.42578125" style="66" customWidth="1"/>
    <col min="5891" max="5891" width="44.42578125" style="66" customWidth="1"/>
    <col min="5892" max="5892" width="14" style="66" bestFit="1" customWidth="1"/>
    <col min="5893" max="6144" width="9.140625" style="66"/>
    <col min="6145" max="6145" width="16.5703125" style="66" customWidth="1"/>
    <col min="6146" max="6146" width="14.42578125" style="66" customWidth="1"/>
    <col min="6147" max="6147" width="44.42578125" style="66" customWidth="1"/>
    <col min="6148" max="6148" width="14" style="66" bestFit="1" customWidth="1"/>
    <col min="6149" max="6400" width="9.140625" style="66"/>
    <col min="6401" max="6401" width="16.5703125" style="66" customWidth="1"/>
    <col min="6402" max="6402" width="14.42578125" style="66" customWidth="1"/>
    <col min="6403" max="6403" width="44.42578125" style="66" customWidth="1"/>
    <col min="6404" max="6404" width="14" style="66" bestFit="1" customWidth="1"/>
    <col min="6405" max="6656" width="9.140625" style="66"/>
    <col min="6657" max="6657" width="16.5703125" style="66" customWidth="1"/>
    <col min="6658" max="6658" width="14.42578125" style="66" customWidth="1"/>
    <col min="6659" max="6659" width="44.42578125" style="66" customWidth="1"/>
    <col min="6660" max="6660" width="14" style="66" bestFit="1" customWidth="1"/>
    <col min="6661" max="6912" width="9.140625" style="66"/>
    <col min="6913" max="6913" width="16.5703125" style="66" customWidth="1"/>
    <col min="6914" max="6914" width="14.42578125" style="66" customWidth="1"/>
    <col min="6915" max="6915" width="44.42578125" style="66" customWidth="1"/>
    <col min="6916" max="6916" width="14" style="66" bestFit="1" customWidth="1"/>
    <col min="6917" max="7168" width="9.140625" style="66"/>
    <col min="7169" max="7169" width="16.5703125" style="66" customWidth="1"/>
    <col min="7170" max="7170" width="14.42578125" style="66" customWidth="1"/>
    <col min="7171" max="7171" width="44.42578125" style="66" customWidth="1"/>
    <col min="7172" max="7172" width="14" style="66" bestFit="1" customWidth="1"/>
    <col min="7173" max="7424" width="9.140625" style="66"/>
    <col min="7425" max="7425" width="16.5703125" style="66" customWidth="1"/>
    <col min="7426" max="7426" width="14.42578125" style="66" customWidth="1"/>
    <col min="7427" max="7427" width="44.42578125" style="66" customWidth="1"/>
    <col min="7428" max="7428" width="14" style="66" bestFit="1" customWidth="1"/>
    <col min="7429" max="7680" width="9.140625" style="66"/>
    <col min="7681" max="7681" width="16.5703125" style="66" customWidth="1"/>
    <col min="7682" max="7682" width="14.42578125" style="66" customWidth="1"/>
    <col min="7683" max="7683" width="44.42578125" style="66" customWidth="1"/>
    <col min="7684" max="7684" width="14" style="66" bestFit="1" customWidth="1"/>
    <col min="7685" max="7936" width="9.140625" style="66"/>
    <col min="7937" max="7937" width="16.5703125" style="66" customWidth="1"/>
    <col min="7938" max="7938" width="14.42578125" style="66" customWidth="1"/>
    <col min="7939" max="7939" width="44.42578125" style="66" customWidth="1"/>
    <col min="7940" max="7940" width="14" style="66" bestFit="1" customWidth="1"/>
    <col min="7941" max="8192" width="9.140625" style="66"/>
    <col min="8193" max="8193" width="16.5703125" style="66" customWidth="1"/>
    <col min="8194" max="8194" width="14.42578125" style="66" customWidth="1"/>
    <col min="8195" max="8195" width="44.42578125" style="66" customWidth="1"/>
    <col min="8196" max="8196" width="14" style="66" bestFit="1" customWidth="1"/>
    <col min="8197" max="8448" width="9.140625" style="66"/>
    <col min="8449" max="8449" width="16.5703125" style="66" customWidth="1"/>
    <col min="8450" max="8450" width="14.42578125" style="66" customWidth="1"/>
    <col min="8451" max="8451" width="44.42578125" style="66" customWidth="1"/>
    <col min="8452" max="8452" width="14" style="66" bestFit="1" customWidth="1"/>
    <col min="8453" max="8704" width="9.140625" style="66"/>
    <col min="8705" max="8705" width="16.5703125" style="66" customWidth="1"/>
    <col min="8706" max="8706" width="14.42578125" style="66" customWidth="1"/>
    <col min="8707" max="8707" width="44.42578125" style="66" customWidth="1"/>
    <col min="8708" max="8708" width="14" style="66" bestFit="1" customWidth="1"/>
    <col min="8709" max="8960" width="9.140625" style="66"/>
    <col min="8961" max="8961" width="16.5703125" style="66" customWidth="1"/>
    <col min="8962" max="8962" width="14.42578125" style="66" customWidth="1"/>
    <col min="8963" max="8963" width="44.42578125" style="66" customWidth="1"/>
    <col min="8964" max="8964" width="14" style="66" bestFit="1" customWidth="1"/>
    <col min="8965" max="9216" width="9.140625" style="66"/>
    <col min="9217" max="9217" width="16.5703125" style="66" customWidth="1"/>
    <col min="9218" max="9218" width="14.42578125" style="66" customWidth="1"/>
    <col min="9219" max="9219" width="44.42578125" style="66" customWidth="1"/>
    <col min="9220" max="9220" width="14" style="66" bestFit="1" customWidth="1"/>
    <col min="9221" max="9472" width="9.140625" style="66"/>
    <col min="9473" max="9473" width="16.5703125" style="66" customWidth="1"/>
    <col min="9474" max="9474" width="14.42578125" style="66" customWidth="1"/>
    <col min="9475" max="9475" width="44.42578125" style="66" customWidth="1"/>
    <col min="9476" max="9476" width="14" style="66" bestFit="1" customWidth="1"/>
    <col min="9477" max="9728" width="9.140625" style="66"/>
    <col min="9729" max="9729" width="16.5703125" style="66" customWidth="1"/>
    <col min="9730" max="9730" width="14.42578125" style="66" customWidth="1"/>
    <col min="9731" max="9731" width="44.42578125" style="66" customWidth="1"/>
    <col min="9732" max="9732" width="14" style="66" bestFit="1" customWidth="1"/>
    <col min="9733" max="9984" width="9.140625" style="66"/>
    <col min="9985" max="9985" width="16.5703125" style="66" customWidth="1"/>
    <col min="9986" max="9986" width="14.42578125" style="66" customWidth="1"/>
    <col min="9987" max="9987" width="44.42578125" style="66" customWidth="1"/>
    <col min="9988" max="9988" width="14" style="66" bestFit="1" customWidth="1"/>
    <col min="9989" max="10240" width="9.140625" style="66"/>
    <col min="10241" max="10241" width="16.5703125" style="66" customWidth="1"/>
    <col min="10242" max="10242" width="14.42578125" style="66" customWidth="1"/>
    <col min="10243" max="10243" width="44.42578125" style="66" customWidth="1"/>
    <col min="10244" max="10244" width="14" style="66" bestFit="1" customWidth="1"/>
    <col min="10245" max="10496" width="9.140625" style="66"/>
    <col min="10497" max="10497" width="16.5703125" style="66" customWidth="1"/>
    <col min="10498" max="10498" width="14.42578125" style="66" customWidth="1"/>
    <col min="10499" max="10499" width="44.42578125" style="66" customWidth="1"/>
    <col min="10500" max="10500" width="14" style="66" bestFit="1" customWidth="1"/>
    <col min="10501" max="10752" width="9.140625" style="66"/>
    <col min="10753" max="10753" width="16.5703125" style="66" customWidth="1"/>
    <col min="10754" max="10754" width="14.42578125" style="66" customWidth="1"/>
    <col min="10755" max="10755" width="44.42578125" style="66" customWidth="1"/>
    <col min="10756" max="10756" width="14" style="66" bestFit="1" customWidth="1"/>
    <col min="10757" max="11008" width="9.140625" style="66"/>
    <col min="11009" max="11009" width="16.5703125" style="66" customWidth="1"/>
    <col min="11010" max="11010" width="14.42578125" style="66" customWidth="1"/>
    <col min="11011" max="11011" width="44.42578125" style="66" customWidth="1"/>
    <col min="11012" max="11012" width="14" style="66" bestFit="1" customWidth="1"/>
    <col min="11013" max="11264" width="9.140625" style="66"/>
    <col min="11265" max="11265" width="16.5703125" style="66" customWidth="1"/>
    <col min="11266" max="11266" width="14.42578125" style="66" customWidth="1"/>
    <col min="11267" max="11267" width="44.42578125" style="66" customWidth="1"/>
    <col min="11268" max="11268" width="14" style="66" bestFit="1" customWidth="1"/>
    <col min="11269" max="11520" width="9.140625" style="66"/>
    <col min="11521" max="11521" width="16.5703125" style="66" customWidth="1"/>
    <col min="11522" max="11522" width="14.42578125" style="66" customWidth="1"/>
    <col min="11523" max="11523" width="44.42578125" style="66" customWidth="1"/>
    <col min="11524" max="11524" width="14" style="66" bestFit="1" customWidth="1"/>
    <col min="11525" max="11776" width="9.140625" style="66"/>
    <col min="11777" max="11777" width="16.5703125" style="66" customWidth="1"/>
    <col min="11778" max="11778" width="14.42578125" style="66" customWidth="1"/>
    <col min="11779" max="11779" width="44.42578125" style="66" customWidth="1"/>
    <col min="11780" max="11780" width="14" style="66" bestFit="1" customWidth="1"/>
    <col min="11781" max="12032" width="9.140625" style="66"/>
    <col min="12033" max="12033" width="16.5703125" style="66" customWidth="1"/>
    <col min="12034" max="12034" width="14.42578125" style="66" customWidth="1"/>
    <col min="12035" max="12035" width="44.42578125" style="66" customWidth="1"/>
    <col min="12036" max="12036" width="14" style="66" bestFit="1" customWidth="1"/>
    <col min="12037" max="12288" width="9.140625" style="66"/>
    <col min="12289" max="12289" width="16.5703125" style="66" customWidth="1"/>
    <col min="12290" max="12290" width="14.42578125" style="66" customWidth="1"/>
    <col min="12291" max="12291" width="44.42578125" style="66" customWidth="1"/>
    <col min="12292" max="12292" width="14" style="66" bestFit="1" customWidth="1"/>
    <col min="12293" max="12544" width="9.140625" style="66"/>
    <col min="12545" max="12545" width="16.5703125" style="66" customWidth="1"/>
    <col min="12546" max="12546" width="14.42578125" style="66" customWidth="1"/>
    <col min="12547" max="12547" width="44.42578125" style="66" customWidth="1"/>
    <col min="12548" max="12548" width="14" style="66" bestFit="1" customWidth="1"/>
    <col min="12549" max="12800" width="9.140625" style="66"/>
    <col min="12801" max="12801" width="16.5703125" style="66" customWidth="1"/>
    <col min="12802" max="12802" width="14.42578125" style="66" customWidth="1"/>
    <col min="12803" max="12803" width="44.42578125" style="66" customWidth="1"/>
    <col min="12804" max="12804" width="14" style="66" bestFit="1" customWidth="1"/>
    <col min="12805" max="13056" width="9.140625" style="66"/>
    <col min="13057" max="13057" width="16.5703125" style="66" customWidth="1"/>
    <col min="13058" max="13058" width="14.42578125" style="66" customWidth="1"/>
    <col min="13059" max="13059" width="44.42578125" style="66" customWidth="1"/>
    <col min="13060" max="13060" width="14" style="66" bestFit="1" customWidth="1"/>
    <col min="13061" max="13312" width="9.140625" style="66"/>
    <col min="13313" max="13313" width="16.5703125" style="66" customWidth="1"/>
    <col min="13314" max="13314" width="14.42578125" style="66" customWidth="1"/>
    <col min="13315" max="13315" width="44.42578125" style="66" customWidth="1"/>
    <col min="13316" max="13316" width="14" style="66" bestFit="1" customWidth="1"/>
    <col min="13317" max="13568" width="9.140625" style="66"/>
    <col min="13569" max="13569" width="16.5703125" style="66" customWidth="1"/>
    <col min="13570" max="13570" width="14.42578125" style="66" customWidth="1"/>
    <col min="13571" max="13571" width="44.42578125" style="66" customWidth="1"/>
    <col min="13572" max="13572" width="14" style="66" bestFit="1" customWidth="1"/>
    <col min="13573" max="13824" width="9.140625" style="66"/>
    <col min="13825" max="13825" width="16.5703125" style="66" customWidth="1"/>
    <col min="13826" max="13826" width="14.42578125" style="66" customWidth="1"/>
    <col min="13827" max="13827" width="44.42578125" style="66" customWidth="1"/>
    <col min="13828" max="13828" width="14" style="66" bestFit="1" customWidth="1"/>
    <col min="13829" max="14080" width="9.140625" style="66"/>
    <col min="14081" max="14081" width="16.5703125" style="66" customWidth="1"/>
    <col min="14082" max="14082" width="14.42578125" style="66" customWidth="1"/>
    <col min="14083" max="14083" width="44.42578125" style="66" customWidth="1"/>
    <col min="14084" max="14084" width="14" style="66" bestFit="1" customWidth="1"/>
    <col min="14085" max="14336" width="9.140625" style="66"/>
    <col min="14337" max="14337" width="16.5703125" style="66" customWidth="1"/>
    <col min="14338" max="14338" width="14.42578125" style="66" customWidth="1"/>
    <col min="14339" max="14339" width="44.42578125" style="66" customWidth="1"/>
    <col min="14340" max="14340" width="14" style="66" bestFit="1" customWidth="1"/>
    <col min="14341" max="14592" width="9.140625" style="66"/>
    <col min="14593" max="14593" width="16.5703125" style="66" customWidth="1"/>
    <col min="14594" max="14594" width="14.42578125" style="66" customWidth="1"/>
    <col min="14595" max="14595" width="44.42578125" style="66" customWidth="1"/>
    <col min="14596" max="14596" width="14" style="66" bestFit="1" customWidth="1"/>
    <col min="14597" max="14848" width="9.140625" style="66"/>
    <col min="14849" max="14849" width="16.5703125" style="66" customWidth="1"/>
    <col min="14850" max="14850" width="14.42578125" style="66" customWidth="1"/>
    <col min="14851" max="14851" width="44.42578125" style="66" customWidth="1"/>
    <col min="14852" max="14852" width="14" style="66" bestFit="1" customWidth="1"/>
    <col min="14853" max="15104" width="9.140625" style="66"/>
    <col min="15105" max="15105" width="16.5703125" style="66" customWidth="1"/>
    <col min="15106" max="15106" width="14.42578125" style="66" customWidth="1"/>
    <col min="15107" max="15107" width="44.42578125" style="66" customWidth="1"/>
    <col min="15108" max="15108" width="14" style="66" bestFit="1" customWidth="1"/>
    <col min="15109" max="15360" width="9.140625" style="66"/>
    <col min="15361" max="15361" width="16.5703125" style="66" customWidth="1"/>
    <col min="15362" max="15362" width="14.42578125" style="66" customWidth="1"/>
    <col min="15363" max="15363" width="44.42578125" style="66" customWidth="1"/>
    <col min="15364" max="15364" width="14" style="66" bestFit="1" customWidth="1"/>
    <col min="15365" max="15616" width="9.140625" style="66"/>
    <col min="15617" max="15617" width="16.5703125" style="66" customWidth="1"/>
    <col min="15618" max="15618" width="14.42578125" style="66" customWidth="1"/>
    <col min="15619" max="15619" width="44.42578125" style="66" customWidth="1"/>
    <col min="15620" max="15620" width="14" style="66" bestFit="1" customWidth="1"/>
    <col min="15621" max="15872" width="9.140625" style="66"/>
    <col min="15873" max="15873" width="16.5703125" style="66" customWidth="1"/>
    <col min="15874" max="15874" width="14.42578125" style="66" customWidth="1"/>
    <col min="15875" max="15875" width="44.42578125" style="66" customWidth="1"/>
    <col min="15876" max="15876" width="14" style="66" bestFit="1" customWidth="1"/>
    <col min="15877" max="16128" width="9.140625" style="66"/>
    <col min="16129" max="16129" width="16.5703125" style="66" customWidth="1"/>
    <col min="16130" max="16130" width="14.42578125" style="66" customWidth="1"/>
    <col min="16131" max="16131" width="44.42578125" style="66" customWidth="1"/>
    <col min="16132" max="16132" width="14" style="66" bestFit="1" customWidth="1"/>
    <col min="16133" max="16384" width="9.140625" style="66"/>
  </cols>
  <sheetData>
    <row r="1" spans="1:7" x14ac:dyDescent="0.2">
      <c r="D1" s="86"/>
    </row>
    <row r="2" spans="1:7" x14ac:dyDescent="0.2">
      <c r="D2" s="156">
        <f>SUBTOTAL(9,D4:D69)</f>
        <v>34317010.370000005</v>
      </c>
      <c r="E2" s="229"/>
    </row>
    <row r="3" spans="1:7" x14ac:dyDescent="0.2">
      <c r="A3" s="69" t="s">
        <v>150</v>
      </c>
      <c r="B3" s="69" t="s">
        <v>151</v>
      </c>
      <c r="C3" s="91" t="s">
        <v>152</v>
      </c>
      <c r="D3" s="90" t="s">
        <v>243</v>
      </c>
      <c r="E3" s="74" t="s">
        <v>238</v>
      </c>
      <c r="F3" s="74" t="s">
        <v>122</v>
      </c>
      <c r="G3" s="74" t="s">
        <v>239</v>
      </c>
    </row>
    <row r="4" spans="1:7" hidden="1" x14ac:dyDescent="0.2">
      <c r="A4" s="87" t="s">
        <v>244</v>
      </c>
      <c r="B4" s="87" t="s">
        <v>245</v>
      </c>
      <c r="C4" s="88" t="s">
        <v>155</v>
      </c>
      <c r="D4" s="226">
        <v>333.78</v>
      </c>
      <c r="E4" s="68" t="s">
        <v>386</v>
      </c>
      <c r="F4" s="68"/>
      <c r="G4" s="67"/>
    </row>
    <row r="5" spans="1:7" hidden="1" x14ac:dyDescent="0.2">
      <c r="A5" s="87" t="s">
        <v>246</v>
      </c>
      <c r="B5" s="87" t="s">
        <v>247</v>
      </c>
      <c r="C5" s="88" t="s">
        <v>155</v>
      </c>
      <c r="D5" s="226">
        <v>333.78</v>
      </c>
      <c r="E5" s="68" t="s">
        <v>386</v>
      </c>
      <c r="F5" s="68"/>
      <c r="G5" s="67"/>
    </row>
    <row r="6" spans="1:7" hidden="1" x14ac:dyDescent="0.2">
      <c r="A6" s="87" t="s">
        <v>248</v>
      </c>
      <c r="B6" s="87" t="s">
        <v>249</v>
      </c>
      <c r="C6" s="88" t="s">
        <v>155</v>
      </c>
      <c r="D6" s="226">
        <v>333.78</v>
      </c>
      <c r="E6" s="228"/>
      <c r="F6" s="228" t="s">
        <v>388</v>
      </c>
      <c r="G6" s="67"/>
    </row>
    <row r="7" spans="1:7" hidden="1" x14ac:dyDescent="0.2">
      <c r="A7" s="87" t="s">
        <v>250</v>
      </c>
      <c r="B7" s="87" t="s">
        <v>251</v>
      </c>
      <c r="C7" s="88" t="s">
        <v>155</v>
      </c>
      <c r="D7" s="226">
        <v>333.78</v>
      </c>
      <c r="E7" s="68" t="s">
        <v>387</v>
      </c>
      <c r="F7" s="68"/>
      <c r="G7" s="67"/>
    </row>
    <row r="8" spans="1:7" hidden="1" x14ac:dyDescent="0.2">
      <c r="A8" s="87" t="s">
        <v>252</v>
      </c>
      <c r="B8" s="87" t="s">
        <v>253</v>
      </c>
      <c r="C8" s="88" t="s">
        <v>155</v>
      </c>
      <c r="D8" s="226">
        <v>333.78</v>
      </c>
      <c r="E8" s="68" t="s">
        <v>387</v>
      </c>
      <c r="F8" s="68"/>
      <c r="G8" s="67"/>
    </row>
    <row r="9" spans="1:7" hidden="1" x14ac:dyDescent="0.2">
      <c r="A9" s="87" t="s">
        <v>254</v>
      </c>
      <c r="B9" s="87" t="s">
        <v>255</v>
      </c>
      <c r="C9" s="88" t="s">
        <v>155</v>
      </c>
      <c r="D9" s="297">
        <v>36928.089999999997</v>
      </c>
      <c r="E9" s="68" t="s">
        <v>398</v>
      </c>
      <c r="F9" s="68"/>
      <c r="G9" s="67"/>
    </row>
    <row r="10" spans="1:7" hidden="1" x14ac:dyDescent="0.2">
      <c r="A10" s="87" t="s">
        <v>256</v>
      </c>
      <c r="B10" s="87" t="s">
        <v>257</v>
      </c>
      <c r="C10" s="88" t="s">
        <v>155</v>
      </c>
      <c r="D10" s="297">
        <v>861371.64</v>
      </c>
      <c r="E10" s="68" t="s">
        <v>398</v>
      </c>
      <c r="F10" s="68"/>
      <c r="G10" s="67"/>
    </row>
    <row r="11" spans="1:7" hidden="1" x14ac:dyDescent="0.2">
      <c r="A11" s="87" t="s">
        <v>258</v>
      </c>
      <c r="B11" s="87" t="s">
        <v>259</v>
      </c>
      <c r="C11" s="88" t="s">
        <v>155</v>
      </c>
      <c r="D11" s="226">
        <v>19.579999999999998</v>
      </c>
      <c r="E11" s="68"/>
      <c r="F11" s="68" t="s">
        <v>396</v>
      </c>
      <c r="G11" s="67"/>
    </row>
    <row r="12" spans="1:7" hidden="1" x14ac:dyDescent="0.2">
      <c r="A12" s="87" t="s">
        <v>260</v>
      </c>
      <c r="B12" s="87" t="s">
        <v>261</v>
      </c>
      <c r="C12" s="88" t="s">
        <v>155</v>
      </c>
      <c r="D12" s="226">
        <v>176</v>
      </c>
      <c r="E12" s="68"/>
      <c r="F12" s="68" t="s">
        <v>396</v>
      </c>
      <c r="G12" s="67"/>
    </row>
    <row r="13" spans="1:7" hidden="1" x14ac:dyDescent="0.2">
      <c r="A13" s="87" t="s">
        <v>262</v>
      </c>
      <c r="B13" s="87" t="s">
        <v>263</v>
      </c>
      <c r="C13" s="88" t="s">
        <v>155</v>
      </c>
      <c r="D13" s="226">
        <v>93</v>
      </c>
      <c r="E13" s="68"/>
      <c r="F13" s="68" t="s">
        <v>395</v>
      </c>
      <c r="G13" s="67"/>
    </row>
    <row r="14" spans="1:7" hidden="1" x14ac:dyDescent="0.2">
      <c r="A14" s="87" t="s">
        <v>264</v>
      </c>
      <c r="B14" s="87" t="s">
        <v>265</v>
      </c>
      <c r="C14" s="88" t="s">
        <v>155</v>
      </c>
      <c r="D14" s="226">
        <v>20848.87</v>
      </c>
      <c r="E14" s="68"/>
      <c r="F14" s="68" t="s">
        <v>396</v>
      </c>
      <c r="G14" s="67"/>
    </row>
    <row r="15" spans="1:7" hidden="1" x14ac:dyDescent="0.2">
      <c r="A15" s="87" t="s">
        <v>266</v>
      </c>
      <c r="B15" s="87" t="s">
        <v>267</v>
      </c>
      <c r="C15" s="88" t="s">
        <v>155</v>
      </c>
      <c r="D15" s="226">
        <v>229</v>
      </c>
      <c r="E15" s="68"/>
      <c r="F15" s="68" t="s">
        <v>396</v>
      </c>
      <c r="G15" s="67"/>
    </row>
    <row r="16" spans="1:7" hidden="1" x14ac:dyDescent="0.2">
      <c r="A16" s="87" t="s">
        <v>268</v>
      </c>
      <c r="B16" s="87" t="s">
        <v>269</v>
      </c>
      <c r="C16" s="88" t="s">
        <v>155</v>
      </c>
      <c r="D16" s="226">
        <v>195</v>
      </c>
      <c r="E16" s="68"/>
      <c r="F16" s="68" t="s">
        <v>396</v>
      </c>
      <c r="G16" s="67"/>
    </row>
    <row r="17" spans="1:7" hidden="1" x14ac:dyDescent="0.2">
      <c r="A17" s="87" t="s">
        <v>270</v>
      </c>
      <c r="B17" s="87" t="s">
        <v>271</v>
      </c>
      <c r="C17" s="88" t="s">
        <v>155</v>
      </c>
      <c r="D17" s="226">
        <v>9804.94</v>
      </c>
      <c r="E17" s="68"/>
      <c r="F17" s="68" t="s">
        <v>396</v>
      </c>
      <c r="G17" s="67"/>
    </row>
    <row r="18" spans="1:7" hidden="1" x14ac:dyDescent="0.2">
      <c r="A18" s="87" t="s">
        <v>272</v>
      </c>
      <c r="B18" s="87" t="s">
        <v>273</v>
      </c>
      <c r="C18" s="88" t="s">
        <v>155</v>
      </c>
      <c r="D18" s="226">
        <v>2050.2600000000002</v>
      </c>
      <c r="E18" s="68"/>
      <c r="F18" s="68" t="s">
        <v>396</v>
      </c>
      <c r="G18" s="67"/>
    </row>
    <row r="19" spans="1:7" hidden="1" x14ac:dyDescent="0.2">
      <c r="A19" s="87" t="s">
        <v>274</v>
      </c>
      <c r="B19" s="87" t="s">
        <v>275</v>
      </c>
      <c r="C19" s="88" t="s">
        <v>155</v>
      </c>
      <c r="D19" s="226">
        <v>726074.89</v>
      </c>
      <c r="E19" s="68"/>
      <c r="F19" s="68" t="s">
        <v>396</v>
      </c>
      <c r="G19" s="67"/>
    </row>
    <row r="20" spans="1:7" hidden="1" x14ac:dyDescent="0.2">
      <c r="A20" s="87" t="s">
        <v>276</v>
      </c>
      <c r="B20" s="87" t="s">
        <v>277</v>
      </c>
      <c r="C20" s="88" t="s">
        <v>155</v>
      </c>
      <c r="D20" s="226">
        <v>348118.74</v>
      </c>
      <c r="E20" s="68"/>
      <c r="F20" s="68" t="s">
        <v>396</v>
      </c>
      <c r="G20" s="67"/>
    </row>
    <row r="21" spans="1:7" hidden="1" x14ac:dyDescent="0.2">
      <c r="A21" s="87" t="s">
        <v>278</v>
      </c>
      <c r="B21" s="87" t="s">
        <v>279</v>
      </c>
      <c r="C21" s="88" t="s">
        <v>155</v>
      </c>
      <c r="D21" s="226">
        <v>48628.7</v>
      </c>
      <c r="E21" s="68"/>
      <c r="F21" s="68" t="s">
        <v>396</v>
      </c>
      <c r="G21" s="67"/>
    </row>
    <row r="22" spans="1:7" hidden="1" x14ac:dyDescent="0.2">
      <c r="A22" s="87" t="s">
        <v>280</v>
      </c>
      <c r="B22" s="87" t="s">
        <v>281</v>
      </c>
      <c r="C22" s="88" t="s">
        <v>155</v>
      </c>
      <c r="D22" s="226">
        <v>327.45</v>
      </c>
      <c r="E22" s="68"/>
      <c r="F22" s="68" t="s">
        <v>396</v>
      </c>
      <c r="G22" s="67"/>
    </row>
    <row r="23" spans="1:7" hidden="1" x14ac:dyDescent="0.2">
      <c r="A23" s="87" t="s">
        <v>282</v>
      </c>
      <c r="B23" s="87" t="s">
        <v>283</v>
      </c>
      <c r="C23" s="88" t="s">
        <v>155</v>
      </c>
      <c r="D23" s="226">
        <v>393757.5</v>
      </c>
      <c r="E23" s="68"/>
      <c r="F23" s="68" t="s">
        <v>396</v>
      </c>
      <c r="G23" s="67"/>
    </row>
    <row r="24" spans="1:7" hidden="1" x14ac:dyDescent="0.2">
      <c r="A24" s="87" t="s">
        <v>284</v>
      </c>
      <c r="B24" s="87" t="s">
        <v>285</v>
      </c>
      <c r="C24" s="88" t="s">
        <v>155</v>
      </c>
      <c r="D24" s="226">
        <v>745</v>
      </c>
      <c r="E24" s="68"/>
      <c r="F24" s="68" t="s">
        <v>396</v>
      </c>
      <c r="G24" s="67"/>
    </row>
    <row r="25" spans="1:7" hidden="1" x14ac:dyDescent="0.2">
      <c r="A25" s="87" t="s">
        <v>286</v>
      </c>
      <c r="B25" s="87" t="s">
        <v>287</v>
      </c>
      <c r="C25" s="88" t="s">
        <v>155</v>
      </c>
      <c r="D25" s="226">
        <v>84</v>
      </c>
      <c r="E25" s="68"/>
      <c r="F25" s="68" t="s">
        <v>396</v>
      </c>
      <c r="G25" s="67"/>
    </row>
    <row r="26" spans="1:7" hidden="1" x14ac:dyDescent="0.2">
      <c r="A26" s="87" t="s">
        <v>288</v>
      </c>
      <c r="B26" s="87" t="s">
        <v>289</v>
      </c>
      <c r="C26" s="88" t="s">
        <v>155</v>
      </c>
      <c r="D26" s="226">
        <v>8643454.1099999994</v>
      </c>
      <c r="E26" s="68"/>
      <c r="F26" s="68" t="s">
        <v>395</v>
      </c>
      <c r="G26" s="67"/>
    </row>
    <row r="27" spans="1:7" hidden="1" x14ac:dyDescent="0.2">
      <c r="A27" s="87" t="s">
        <v>290</v>
      </c>
      <c r="B27" s="87" t="s">
        <v>291</v>
      </c>
      <c r="C27" s="88" t="s">
        <v>155</v>
      </c>
      <c r="D27" s="226">
        <v>4501.58</v>
      </c>
      <c r="E27" s="68"/>
      <c r="F27" s="68" t="s">
        <v>396</v>
      </c>
      <c r="G27" s="67"/>
    </row>
    <row r="28" spans="1:7" hidden="1" x14ac:dyDescent="0.2">
      <c r="A28" s="87" t="s">
        <v>292</v>
      </c>
      <c r="B28" s="87" t="s">
        <v>293</v>
      </c>
      <c r="C28" s="88" t="s">
        <v>155</v>
      </c>
      <c r="D28" s="226">
        <v>3409140.03</v>
      </c>
      <c r="E28" s="68"/>
      <c r="F28" s="68" t="s">
        <v>395</v>
      </c>
      <c r="G28" s="67"/>
    </row>
    <row r="29" spans="1:7" hidden="1" x14ac:dyDescent="0.2">
      <c r="A29" s="87" t="s">
        <v>294</v>
      </c>
      <c r="B29" s="87" t="s">
        <v>295</v>
      </c>
      <c r="C29" s="88" t="s">
        <v>155</v>
      </c>
      <c r="D29" s="226">
        <v>100.68</v>
      </c>
      <c r="E29" s="68"/>
      <c r="F29" s="68" t="s">
        <v>396</v>
      </c>
      <c r="G29" s="67"/>
    </row>
    <row r="30" spans="1:7" hidden="1" x14ac:dyDescent="0.2">
      <c r="A30" s="87" t="s">
        <v>296</v>
      </c>
      <c r="B30" s="87" t="s">
        <v>297</v>
      </c>
      <c r="C30" s="88" t="s">
        <v>155</v>
      </c>
      <c r="D30" s="226">
        <v>3172343.32</v>
      </c>
      <c r="E30" s="68"/>
      <c r="F30" s="68" t="s">
        <v>396</v>
      </c>
      <c r="G30" s="67"/>
    </row>
    <row r="31" spans="1:7" hidden="1" x14ac:dyDescent="0.2">
      <c r="A31" s="87" t="s">
        <v>298</v>
      </c>
      <c r="B31" s="87" t="s">
        <v>299</v>
      </c>
      <c r="C31" s="88" t="s">
        <v>155</v>
      </c>
      <c r="D31" s="226">
        <v>46665.63</v>
      </c>
      <c r="E31" s="68"/>
      <c r="F31" s="68" t="s">
        <v>396</v>
      </c>
      <c r="G31" s="67"/>
    </row>
    <row r="32" spans="1:7" hidden="1" x14ac:dyDescent="0.2">
      <c r="A32" s="87" t="s">
        <v>300</v>
      </c>
      <c r="B32" s="87" t="s">
        <v>301</v>
      </c>
      <c r="C32" s="88" t="s">
        <v>155</v>
      </c>
      <c r="D32" s="226">
        <v>25986.04</v>
      </c>
      <c r="E32" s="68"/>
      <c r="F32" s="68" t="s">
        <v>396</v>
      </c>
      <c r="G32" s="67"/>
    </row>
    <row r="33" spans="1:7" hidden="1" x14ac:dyDescent="0.2">
      <c r="A33" s="87" t="s">
        <v>302</v>
      </c>
      <c r="B33" s="87" t="s">
        <v>303</v>
      </c>
      <c r="C33" s="88" t="s">
        <v>155</v>
      </c>
      <c r="D33" s="226">
        <v>1882.48</v>
      </c>
      <c r="E33" s="68"/>
      <c r="F33" s="68" t="s">
        <v>396</v>
      </c>
      <c r="G33" s="67"/>
    </row>
    <row r="34" spans="1:7" hidden="1" x14ac:dyDescent="0.2">
      <c r="A34" s="87" t="s">
        <v>304</v>
      </c>
      <c r="B34" s="87" t="s">
        <v>305</v>
      </c>
      <c r="C34" s="88" t="s">
        <v>155</v>
      </c>
      <c r="D34" s="226">
        <v>183951.72</v>
      </c>
      <c r="E34" s="68"/>
      <c r="F34" s="68" t="s">
        <v>396</v>
      </c>
      <c r="G34" s="67"/>
    </row>
    <row r="35" spans="1:7" hidden="1" x14ac:dyDescent="0.2">
      <c r="A35" s="87" t="s">
        <v>306</v>
      </c>
      <c r="B35" s="87" t="s">
        <v>307</v>
      </c>
      <c r="C35" s="88" t="s">
        <v>155</v>
      </c>
      <c r="D35" s="226">
        <v>13.09</v>
      </c>
      <c r="E35" s="68"/>
      <c r="F35" s="68" t="s">
        <v>396</v>
      </c>
      <c r="G35" s="67"/>
    </row>
    <row r="36" spans="1:7" hidden="1" x14ac:dyDescent="0.2">
      <c r="A36" s="87" t="s">
        <v>308</v>
      </c>
      <c r="B36" s="87" t="s">
        <v>309</v>
      </c>
      <c r="C36" s="88" t="s">
        <v>155</v>
      </c>
      <c r="D36" s="226">
        <v>478.49</v>
      </c>
      <c r="E36" s="68"/>
      <c r="F36" s="68" t="s">
        <v>395</v>
      </c>
      <c r="G36" s="67"/>
    </row>
    <row r="37" spans="1:7" hidden="1" x14ac:dyDescent="0.2">
      <c r="A37" s="87" t="s">
        <v>310</v>
      </c>
      <c r="B37" s="87" t="s">
        <v>311</v>
      </c>
      <c r="C37" s="88" t="s">
        <v>155</v>
      </c>
      <c r="D37" s="226">
        <v>320.23</v>
      </c>
      <c r="E37" s="68"/>
      <c r="F37" s="68" t="s">
        <v>396</v>
      </c>
      <c r="G37" s="67"/>
    </row>
    <row r="38" spans="1:7" hidden="1" x14ac:dyDescent="0.2">
      <c r="A38" s="87" t="s">
        <v>312</v>
      </c>
      <c r="B38" s="87" t="s">
        <v>313</v>
      </c>
      <c r="C38" s="88" t="s">
        <v>155</v>
      </c>
      <c r="D38" s="226">
        <v>86807</v>
      </c>
      <c r="E38" s="68"/>
      <c r="F38" s="68" t="s">
        <v>395</v>
      </c>
      <c r="G38" s="67"/>
    </row>
    <row r="39" spans="1:7" hidden="1" x14ac:dyDescent="0.2">
      <c r="A39" s="87" t="s">
        <v>314</v>
      </c>
      <c r="B39" s="87" t="s">
        <v>315</v>
      </c>
      <c r="C39" s="88" t="s">
        <v>155</v>
      </c>
      <c r="D39" s="226">
        <v>470.99</v>
      </c>
      <c r="E39" s="68"/>
      <c r="F39" s="68" t="s">
        <v>396</v>
      </c>
      <c r="G39" s="67"/>
    </row>
    <row r="40" spans="1:7" hidden="1" x14ac:dyDescent="0.2">
      <c r="A40" s="87" t="s">
        <v>316</v>
      </c>
      <c r="B40" s="87" t="s">
        <v>317</v>
      </c>
      <c r="C40" s="88" t="s">
        <v>155</v>
      </c>
      <c r="D40" s="226">
        <v>7701836.7199999997</v>
      </c>
      <c r="E40" s="228"/>
      <c r="F40" s="228" t="s">
        <v>388</v>
      </c>
      <c r="G40" s="67"/>
    </row>
    <row r="41" spans="1:7" hidden="1" x14ac:dyDescent="0.2">
      <c r="A41" s="87" t="s">
        <v>318</v>
      </c>
      <c r="B41" s="87" t="s">
        <v>319</v>
      </c>
      <c r="C41" s="88" t="s">
        <v>155</v>
      </c>
      <c r="D41" s="226">
        <v>2361.69</v>
      </c>
      <c r="E41" s="228"/>
      <c r="F41" s="228" t="s">
        <v>388</v>
      </c>
      <c r="G41" s="67"/>
    </row>
    <row r="42" spans="1:7" hidden="1" x14ac:dyDescent="0.2">
      <c r="A42" s="87" t="s">
        <v>320</v>
      </c>
      <c r="B42" s="87" t="s">
        <v>321</v>
      </c>
      <c r="C42" s="88" t="s">
        <v>155</v>
      </c>
      <c r="D42" s="226">
        <v>19479.099999999999</v>
      </c>
      <c r="E42" s="228"/>
      <c r="F42" s="228" t="s">
        <v>394</v>
      </c>
      <c r="G42" s="67"/>
    </row>
    <row r="43" spans="1:7" hidden="1" x14ac:dyDescent="0.2">
      <c r="A43" s="87" t="s">
        <v>322</v>
      </c>
      <c r="B43" s="87" t="s">
        <v>323</v>
      </c>
      <c r="C43" s="88" t="s">
        <v>155</v>
      </c>
      <c r="D43" s="297">
        <v>16792660.66</v>
      </c>
      <c r="E43" s="68" t="s">
        <v>398</v>
      </c>
      <c r="F43" s="68"/>
      <c r="G43" s="67"/>
    </row>
    <row r="44" spans="1:7" hidden="1" x14ac:dyDescent="0.2">
      <c r="A44" s="87" t="s">
        <v>324</v>
      </c>
      <c r="B44" s="87" t="s">
        <v>325</v>
      </c>
      <c r="C44" s="88" t="s">
        <v>155</v>
      </c>
      <c r="D44" s="226">
        <v>333.78</v>
      </c>
      <c r="E44" s="68" t="s">
        <v>387</v>
      </c>
      <c r="F44" s="68"/>
      <c r="G44" s="67"/>
    </row>
    <row r="45" spans="1:7" x14ac:dyDescent="0.2">
      <c r="A45" s="294" t="s">
        <v>326</v>
      </c>
      <c r="B45" s="294" t="s">
        <v>327</v>
      </c>
      <c r="C45" s="295" t="s">
        <v>155</v>
      </c>
      <c r="D45" s="293">
        <v>37214.980000000003</v>
      </c>
      <c r="E45" s="235" t="s">
        <v>397</v>
      </c>
      <c r="F45" s="235"/>
      <c r="G45" s="236"/>
    </row>
    <row r="46" spans="1:7" x14ac:dyDescent="0.2">
      <c r="A46" s="294" t="s">
        <v>328</v>
      </c>
      <c r="B46" s="294" t="s">
        <v>329</v>
      </c>
      <c r="C46" s="295" t="s">
        <v>155</v>
      </c>
      <c r="D46" s="293">
        <v>854057.43</v>
      </c>
      <c r="E46" s="235" t="s">
        <v>397</v>
      </c>
      <c r="F46" s="235"/>
      <c r="G46" s="236"/>
    </row>
    <row r="47" spans="1:7" x14ac:dyDescent="0.2">
      <c r="A47" s="294" t="s">
        <v>330</v>
      </c>
      <c r="B47" s="294" t="s">
        <v>331</v>
      </c>
      <c r="C47" s="295" t="s">
        <v>155</v>
      </c>
      <c r="D47" s="293">
        <v>9119273.6500000004</v>
      </c>
      <c r="E47" s="235" t="s">
        <v>397</v>
      </c>
      <c r="F47" s="235"/>
      <c r="G47" s="236"/>
    </row>
    <row r="48" spans="1:7" hidden="1" x14ac:dyDescent="0.2">
      <c r="A48" s="87" t="s">
        <v>332</v>
      </c>
      <c r="B48" s="87" t="s">
        <v>333</v>
      </c>
      <c r="C48" s="88" t="s">
        <v>155</v>
      </c>
      <c r="D48" s="297">
        <v>13457.07</v>
      </c>
      <c r="E48" s="68" t="s">
        <v>398</v>
      </c>
      <c r="F48" s="68"/>
      <c r="G48" s="67"/>
    </row>
    <row r="49" spans="1:7" x14ac:dyDescent="0.2">
      <c r="A49" s="294" t="s">
        <v>334</v>
      </c>
      <c r="B49" s="294" t="s">
        <v>335</v>
      </c>
      <c r="C49" s="295" t="s">
        <v>155</v>
      </c>
      <c r="D49" s="293">
        <v>180</v>
      </c>
      <c r="E49" s="235" t="s">
        <v>397</v>
      </c>
      <c r="F49" s="235"/>
      <c r="G49" s="236"/>
    </row>
    <row r="50" spans="1:7" hidden="1" x14ac:dyDescent="0.2">
      <c r="A50" s="87" t="s">
        <v>336</v>
      </c>
      <c r="B50" s="87" t="s">
        <v>337</v>
      </c>
      <c r="C50" s="88" t="s">
        <v>155</v>
      </c>
      <c r="D50" s="297">
        <v>1991924.09</v>
      </c>
      <c r="E50" s="68" t="s">
        <v>398</v>
      </c>
      <c r="F50" s="68"/>
      <c r="G50" s="67"/>
    </row>
    <row r="51" spans="1:7" x14ac:dyDescent="0.2">
      <c r="A51" s="294" t="s">
        <v>338</v>
      </c>
      <c r="B51" s="294" t="s">
        <v>339</v>
      </c>
      <c r="C51" s="295" t="s">
        <v>155</v>
      </c>
      <c r="D51" s="293">
        <v>2579108.46</v>
      </c>
      <c r="E51" s="235" t="s">
        <v>397</v>
      </c>
      <c r="F51" s="235"/>
      <c r="G51" s="236"/>
    </row>
    <row r="52" spans="1:7" hidden="1" x14ac:dyDescent="0.2">
      <c r="A52" s="87" t="s">
        <v>340</v>
      </c>
      <c r="B52" s="87" t="s">
        <v>341</v>
      </c>
      <c r="C52" s="88" t="s">
        <v>215</v>
      </c>
      <c r="D52" s="226">
        <v>2761697.75</v>
      </c>
      <c r="E52" s="228"/>
      <c r="F52" s="228" t="s">
        <v>388</v>
      </c>
      <c r="G52" s="67"/>
    </row>
    <row r="53" spans="1:7" hidden="1" x14ac:dyDescent="0.2">
      <c r="A53" s="87" t="s">
        <v>342</v>
      </c>
      <c r="B53" s="87" t="s">
        <v>343</v>
      </c>
      <c r="C53" s="88" t="s">
        <v>215</v>
      </c>
      <c r="D53" s="226">
        <v>2705928.8</v>
      </c>
      <c r="E53" s="228"/>
      <c r="F53" s="228" t="s">
        <v>388</v>
      </c>
      <c r="G53" s="67"/>
    </row>
    <row r="54" spans="1:7" hidden="1" x14ac:dyDescent="0.2">
      <c r="A54" s="87" t="s">
        <v>344</v>
      </c>
      <c r="B54" s="87" t="s">
        <v>345</v>
      </c>
      <c r="C54" s="88" t="s">
        <v>155</v>
      </c>
      <c r="D54" s="297">
        <v>2232229.9700000002</v>
      </c>
      <c r="E54" s="68" t="s">
        <v>398</v>
      </c>
      <c r="F54" s="68"/>
      <c r="G54" s="67"/>
    </row>
    <row r="55" spans="1:7" x14ac:dyDescent="0.2">
      <c r="A55" s="294" t="s">
        <v>346</v>
      </c>
      <c r="B55" s="294" t="s">
        <v>347</v>
      </c>
      <c r="C55" s="295" t="s">
        <v>155</v>
      </c>
      <c r="D55" s="293">
        <v>2206423.21</v>
      </c>
      <c r="E55" s="235" t="s">
        <v>397</v>
      </c>
      <c r="F55" s="235"/>
      <c r="G55" s="236"/>
    </row>
    <row r="56" spans="1:7" hidden="1" x14ac:dyDescent="0.2">
      <c r="A56" s="87" t="s">
        <v>348</v>
      </c>
      <c r="B56" s="87" t="s">
        <v>349</v>
      </c>
      <c r="C56" s="88" t="s">
        <v>155</v>
      </c>
      <c r="D56" s="297">
        <v>4685774.12</v>
      </c>
      <c r="E56" s="68" t="s">
        <v>398</v>
      </c>
      <c r="F56" s="68"/>
      <c r="G56" s="67"/>
    </row>
    <row r="57" spans="1:7" x14ac:dyDescent="0.2">
      <c r="A57" s="294" t="s">
        <v>350</v>
      </c>
      <c r="B57" s="294" t="s">
        <v>351</v>
      </c>
      <c r="C57" s="295" t="s">
        <v>155</v>
      </c>
      <c r="D57" s="293">
        <v>4652944.9800000004</v>
      </c>
      <c r="E57" s="235" t="s">
        <v>397</v>
      </c>
      <c r="F57" s="235"/>
      <c r="G57" s="236"/>
    </row>
    <row r="58" spans="1:7" hidden="1" x14ac:dyDescent="0.2">
      <c r="A58" s="87" t="s">
        <v>352</v>
      </c>
      <c r="B58" s="87" t="s">
        <v>353</v>
      </c>
      <c r="C58" s="88" t="s">
        <v>215</v>
      </c>
      <c r="D58" s="226">
        <v>602213.03</v>
      </c>
      <c r="E58" s="228"/>
      <c r="F58" s="228" t="s">
        <v>388</v>
      </c>
      <c r="G58" s="67"/>
    </row>
    <row r="59" spans="1:7" hidden="1" x14ac:dyDescent="0.2">
      <c r="A59" s="87" t="s">
        <v>354</v>
      </c>
      <c r="B59" s="87" t="s">
        <v>355</v>
      </c>
      <c r="C59" s="88" t="s">
        <v>155</v>
      </c>
      <c r="D59" s="226">
        <v>2761697.75</v>
      </c>
      <c r="E59" s="228"/>
      <c r="F59" s="228" t="s">
        <v>388</v>
      </c>
      <c r="G59" s="67"/>
    </row>
    <row r="60" spans="1:7" hidden="1" x14ac:dyDescent="0.2">
      <c r="A60" s="87" t="s">
        <v>356</v>
      </c>
      <c r="B60" s="87" t="s">
        <v>357</v>
      </c>
      <c r="C60" s="88" t="s">
        <v>155</v>
      </c>
      <c r="D60" s="226">
        <v>5110039.09</v>
      </c>
      <c r="E60" s="228"/>
      <c r="F60" s="228" t="s">
        <v>388</v>
      </c>
      <c r="G60" s="67"/>
    </row>
    <row r="61" spans="1:7" hidden="1" x14ac:dyDescent="0.2">
      <c r="A61" s="87" t="s">
        <v>358</v>
      </c>
      <c r="B61" s="87" t="s">
        <v>359</v>
      </c>
      <c r="C61" s="88" t="s">
        <v>155</v>
      </c>
      <c r="D61" s="297">
        <v>6148689.8099999996</v>
      </c>
      <c r="E61" s="68" t="s">
        <v>398</v>
      </c>
      <c r="F61" s="68"/>
      <c r="G61" s="67"/>
    </row>
    <row r="62" spans="1:7" x14ac:dyDescent="0.2">
      <c r="A62" s="294" t="s">
        <v>360</v>
      </c>
      <c r="B62" s="294" t="s">
        <v>361</v>
      </c>
      <c r="C62" s="295" t="s">
        <v>155</v>
      </c>
      <c r="D62" s="293">
        <v>13922197.710000001</v>
      </c>
      <c r="E62" s="235" t="s">
        <v>397</v>
      </c>
      <c r="F62" s="235"/>
      <c r="G62" s="236"/>
    </row>
    <row r="63" spans="1:7" hidden="1" x14ac:dyDescent="0.2">
      <c r="A63" s="87" t="s">
        <v>362</v>
      </c>
      <c r="B63" s="87" t="s">
        <v>363</v>
      </c>
      <c r="C63" s="88" t="s">
        <v>208</v>
      </c>
      <c r="D63" s="226">
        <v>49397.34</v>
      </c>
      <c r="E63" s="228"/>
      <c r="F63" s="228" t="s">
        <v>394</v>
      </c>
      <c r="G63" s="67"/>
    </row>
    <row r="64" spans="1:7" hidden="1" x14ac:dyDescent="0.2">
      <c r="A64" s="87" t="s">
        <v>364</v>
      </c>
      <c r="B64" s="87" t="s">
        <v>365</v>
      </c>
      <c r="C64" s="88" t="s">
        <v>208</v>
      </c>
      <c r="D64" s="226">
        <v>4939.7299999999996</v>
      </c>
      <c r="E64" s="228"/>
      <c r="F64" s="228" t="s">
        <v>394</v>
      </c>
      <c r="G64" s="67"/>
    </row>
    <row r="65" spans="1:7" hidden="1" x14ac:dyDescent="0.2">
      <c r="A65" s="87" t="s">
        <v>366</v>
      </c>
      <c r="B65" s="87" t="s">
        <v>367</v>
      </c>
      <c r="C65" s="88" t="s">
        <v>155</v>
      </c>
      <c r="D65" s="297">
        <v>5767.32</v>
      </c>
      <c r="E65" s="68" t="s">
        <v>398</v>
      </c>
      <c r="F65" s="68"/>
      <c r="G65" s="67"/>
    </row>
    <row r="66" spans="1:7" hidden="1" x14ac:dyDescent="0.2">
      <c r="A66" s="87" t="s">
        <v>368</v>
      </c>
      <c r="B66" s="87" t="s">
        <v>369</v>
      </c>
      <c r="C66" s="88" t="s">
        <v>155</v>
      </c>
      <c r="D66" s="297">
        <v>469000</v>
      </c>
      <c r="E66" s="68" t="s">
        <v>398</v>
      </c>
      <c r="F66" s="68"/>
      <c r="G66" s="67"/>
    </row>
    <row r="67" spans="1:7" hidden="1" x14ac:dyDescent="0.2">
      <c r="A67" s="87" t="s">
        <v>370</v>
      </c>
      <c r="B67" s="87" t="s">
        <v>371</v>
      </c>
      <c r="C67" s="88" t="s">
        <v>215</v>
      </c>
      <c r="D67" s="226">
        <v>1801897.26</v>
      </c>
      <c r="E67" s="228"/>
      <c r="F67" s="228" t="s">
        <v>388</v>
      </c>
      <c r="G67" s="67"/>
    </row>
    <row r="68" spans="1:7" hidden="1" x14ac:dyDescent="0.2">
      <c r="A68" s="87" t="s">
        <v>372</v>
      </c>
      <c r="B68" s="87" t="s">
        <v>373</v>
      </c>
      <c r="C68" s="88" t="s">
        <v>155</v>
      </c>
      <c r="D68" s="297">
        <v>956669.99</v>
      </c>
      <c r="E68" s="68" t="s">
        <v>398</v>
      </c>
      <c r="F68" s="68"/>
      <c r="G68" s="67"/>
    </row>
    <row r="69" spans="1:7" x14ac:dyDescent="0.2">
      <c r="A69" s="294" t="s">
        <v>374</v>
      </c>
      <c r="B69" s="294" t="s">
        <v>375</v>
      </c>
      <c r="C69" s="295" t="s">
        <v>155</v>
      </c>
      <c r="D69" s="293">
        <v>945609.95</v>
      </c>
      <c r="E69" s="235" t="s">
        <v>397</v>
      </c>
      <c r="F69" s="235"/>
      <c r="G69" s="236"/>
    </row>
    <row r="70" spans="1:7" hidden="1" x14ac:dyDescent="0.2">
      <c r="A70" s="411"/>
      <c r="B70" s="411"/>
      <c r="C70" s="411"/>
      <c r="D70" s="227">
        <v>109162242.39</v>
      </c>
      <c r="E70" s="68"/>
      <c r="F70" s="68"/>
      <c r="G70" s="67"/>
    </row>
  </sheetData>
  <autoFilter ref="A3:G70" xr:uid="{6D873647-0DFB-4123-A976-D2D83F190390}">
    <filterColumn colId="4">
      <filters>
        <filter val="Folha - 03/2025"/>
      </filters>
    </filterColumn>
    <filterColumn colId="5">
      <filters blank="1"/>
    </filterColumn>
  </autoFilter>
  <mergeCells count="1">
    <mergeCell ref="A70:C70"/>
  </mergeCells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  <ignoredErrors>
    <ignoredError sqref="D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85C2-F362-4DC5-8F03-734A5CF13DD9}">
  <dimension ref="A1:I108"/>
  <sheetViews>
    <sheetView zoomScale="130" zoomScaleNormal="130" workbookViewId="0"/>
  </sheetViews>
  <sheetFormatPr defaultRowHeight="11.25" x14ac:dyDescent="0.2"/>
  <cols>
    <col min="1" max="1" width="10.28515625" style="224" customWidth="1"/>
    <col min="2" max="2" width="11.5703125" style="224" customWidth="1"/>
    <col min="3" max="3" width="11.140625" style="224" customWidth="1"/>
    <col min="4" max="4" width="13.140625" style="224" customWidth="1"/>
    <col min="5" max="5" width="17" style="224" customWidth="1"/>
    <col min="6" max="6" width="56.42578125" style="224" customWidth="1"/>
    <col min="7" max="7" width="12.42578125" style="224" customWidth="1"/>
    <col min="8" max="8" width="11.85546875" style="224" customWidth="1"/>
    <col min="9" max="9" width="10" style="224" customWidth="1"/>
    <col min="10" max="256" width="9.140625" style="224"/>
    <col min="257" max="257" width="10.28515625" style="224" customWidth="1"/>
    <col min="258" max="258" width="11.5703125" style="224" customWidth="1"/>
    <col min="259" max="259" width="11.140625" style="224" customWidth="1"/>
    <col min="260" max="260" width="13.140625" style="224" customWidth="1"/>
    <col min="261" max="261" width="17" style="224" customWidth="1"/>
    <col min="262" max="262" width="56.42578125" style="224" customWidth="1"/>
    <col min="263" max="263" width="10.5703125" style="224" customWidth="1"/>
    <col min="264" max="264" width="11.85546875" style="224" customWidth="1"/>
    <col min="265" max="265" width="10" style="224" customWidth="1"/>
    <col min="266" max="512" width="9.140625" style="224"/>
    <col min="513" max="513" width="10.28515625" style="224" customWidth="1"/>
    <col min="514" max="514" width="11.5703125" style="224" customWidth="1"/>
    <col min="515" max="515" width="11.140625" style="224" customWidth="1"/>
    <col min="516" max="516" width="13.140625" style="224" customWidth="1"/>
    <col min="517" max="517" width="17" style="224" customWidth="1"/>
    <col min="518" max="518" width="56.42578125" style="224" customWidth="1"/>
    <col min="519" max="519" width="10.5703125" style="224" customWidth="1"/>
    <col min="520" max="520" width="11.85546875" style="224" customWidth="1"/>
    <col min="521" max="521" width="10" style="224" customWidth="1"/>
    <col min="522" max="768" width="9.140625" style="224"/>
    <col min="769" max="769" width="10.28515625" style="224" customWidth="1"/>
    <col min="770" max="770" width="11.5703125" style="224" customWidth="1"/>
    <col min="771" max="771" width="11.140625" style="224" customWidth="1"/>
    <col min="772" max="772" width="13.140625" style="224" customWidth="1"/>
    <col min="773" max="773" width="17" style="224" customWidth="1"/>
    <col min="774" max="774" width="56.42578125" style="224" customWidth="1"/>
    <col min="775" max="775" width="10.5703125" style="224" customWidth="1"/>
    <col min="776" max="776" width="11.85546875" style="224" customWidth="1"/>
    <col min="777" max="777" width="10" style="224" customWidth="1"/>
    <col min="778" max="1024" width="9.140625" style="224"/>
    <col min="1025" max="1025" width="10.28515625" style="224" customWidth="1"/>
    <col min="1026" max="1026" width="11.5703125" style="224" customWidth="1"/>
    <col min="1027" max="1027" width="11.140625" style="224" customWidth="1"/>
    <col min="1028" max="1028" width="13.140625" style="224" customWidth="1"/>
    <col min="1029" max="1029" width="17" style="224" customWidth="1"/>
    <col min="1030" max="1030" width="56.42578125" style="224" customWidth="1"/>
    <col min="1031" max="1031" width="10.5703125" style="224" customWidth="1"/>
    <col min="1032" max="1032" width="11.85546875" style="224" customWidth="1"/>
    <col min="1033" max="1033" width="10" style="224" customWidth="1"/>
    <col min="1034" max="1280" width="9.140625" style="224"/>
    <col min="1281" max="1281" width="10.28515625" style="224" customWidth="1"/>
    <col min="1282" max="1282" width="11.5703125" style="224" customWidth="1"/>
    <col min="1283" max="1283" width="11.140625" style="224" customWidth="1"/>
    <col min="1284" max="1284" width="13.140625" style="224" customWidth="1"/>
    <col min="1285" max="1285" width="17" style="224" customWidth="1"/>
    <col min="1286" max="1286" width="56.42578125" style="224" customWidth="1"/>
    <col min="1287" max="1287" width="10.5703125" style="224" customWidth="1"/>
    <col min="1288" max="1288" width="11.85546875" style="224" customWidth="1"/>
    <col min="1289" max="1289" width="10" style="224" customWidth="1"/>
    <col min="1290" max="1536" width="9.140625" style="224"/>
    <col min="1537" max="1537" width="10.28515625" style="224" customWidth="1"/>
    <col min="1538" max="1538" width="11.5703125" style="224" customWidth="1"/>
    <col min="1539" max="1539" width="11.140625" style="224" customWidth="1"/>
    <col min="1540" max="1540" width="13.140625" style="224" customWidth="1"/>
    <col min="1541" max="1541" width="17" style="224" customWidth="1"/>
    <col min="1542" max="1542" width="56.42578125" style="224" customWidth="1"/>
    <col min="1543" max="1543" width="10.5703125" style="224" customWidth="1"/>
    <col min="1544" max="1544" width="11.85546875" style="224" customWidth="1"/>
    <col min="1545" max="1545" width="10" style="224" customWidth="1"/>
    <col min="1546" max="1792" width="9.140625" style="224"/>
    <col min="1793" max="1793" width="10.28515625" style="224" customWidth="1"/>
    <col min="1794" max="1794" width="11.5703125" style="224" customWidth="1"/>
    <col min="1795" max="1795" width="11.140625" style="224" customWidth="1"/>
    <col min="1796" max="1796" width="13.140625" style="224" customWidth="1"/>
    <col min="1797" max="1797" width="17" style="224" customWidth="1"/>
    <col min="1798" max="1798" width="56.42578125" style="224" customWidth="1"/>
    <col min="1799" max="1799" width="10.5703125" style="224" customWidth="1"/>
    <col min="1800" max="1800" width="11.85546875" style="224" customWidth="1"/>
    <col min="1801" max="1801" width="10" style="224" customWidth="1"/>
    <col min="1802" max="2048" width="9.140625" style="224"/>
    <col min="2049" max="2049" width="10.28515625" style="224" customWidth="1"/>
    <col min="2050" max="2050" width="11.5703125" style="224" customWidth="1"/>
    <col min="2051" max="2051" width="11.140625" style="224" customWidth="1"/>
    <col min="2052" max="2052" width="13.140625" style="224" customWidth="1"/>
    <col min="2053" max="2053" width="17" style="224" customWidth="1"/>
    <col min="2054" max="2054" width="56.42578125" style="224" customWidth="1"/>
    <col min="2055" max="2055" width="10.5703125" style="224" customWidth="1"/>
    <col min="2056" max="2056" width="11.85546875" style="224" customWidth="1"/>
    <col min="2057" max="2057" width="10" style="224" customWidth="1"/>
    <col min="2058" max="2304" width="9.140625" style="224"/>
    <col min="2305" max="2305" width="10.28515625" style="224" customWidth="1"/>
    <col min="2306" max="2306" width="11.5703125" style="224" customWidth="1"/>
    <col min="2307" max="2307" width="11.140625" style="224" customWidth="1"/>
    <col min="2308" max="2308" width="13.140625" style="224" customWidth="1"/>
    <col min="2309" max="2309" width="17" style="224" customWidth="1"/>
    <col min="2310" max="2310" width="56.42578125" style="224" customWidth="1"/>
    <col min="2311" max="2311" width="10.5703125" style="224" customWidth="1"/>
    <col min="2312" max="2312" width="11.85546875" style="224" customWidth="1"/>
    <col min="2313" max="2313" width="10" style="224" customWidth="1"/>
    <col min="2314" max="2560" width="9.140625" style="224"/>
    <col min="2561" max="2561" width="10.28515625" style="224" customWidth="1"/>
    <col min="2562" max="2562" width="11.5703125" style="224" customWidth="1"/>
    <col min="2563" max="2563" width="11.140625" style="224" customWidth="1"/>
    <col min="2564" max="2564" width="13.140625" style="224" customWidth="1"/>
    <col min="2565" max="2565" width="17" style="224" customWidth="1"/>
    <col min="2566" max="2566" width="56.42578125" style="224" customWidth="1"/>
    <col min="2567" max="2567" width="10.5703125" style="224" customWidth="1"/>
    <col min="2568" max="2568" width="11.85546875" style="224" customWidth="1"/>
    <col min="2569" max="2569" width="10" style="224" customWidth="1"/>
    <col min="2570" max="2816" width="9.140625" style="224"/>
    <col min="2817" max="2817" width="10.28515625" style="224" customWidth="1"/>
    <col min="2818" max="2818" width="11.5703125" style="224" customWidth="1"/>
    <col min="2819" max="2819" width="11.140625" style="224" customWidth="1"/>
    <col min="2820" max="2820" width="13.140625" style="224" customWidth="1"/>
    <col min="2821" max="2821" width="17" style="224" customWidth="1"/>
    <col min="2822" max="2822" width="56.42578125" style="224" customWidth="1"/>
    <col min="2823" max="2823" width="10.5703125" style="224" customWidth="1"/>
    <col min="2824" max="2824" width="11.85546875" style="224" customWidth="1"/>
    <col min="2825" max="2825" width="10" style="224" customWidth="1"/>
    <col min="2826" max="3072" width="9.140625" style="224"/>
    <col min="3073" max="3073" width="10.28515625" style="224" customWidth="1"/>
    <col min="3074" max="3074" width="11.5703125" style="224" customWidth="1"/>
    <col min="3075" max="3075" width="11.140625" style="224" customWidth="1"/>
    <col min="3076" max="3076" width="13.140625" style="224" customWidth="1"/>
    <col min="3077" max="3077" width="17" style="224" customWidth="1"/>
    <col min="3078" max="3078" width="56.42578125" style="224" customWidth="1"/>
    <col min="3079" max="3079" width="10.5703125" style="224" customWidth="1"/>
    <col min="3080" max="3080" width="11.85546875" style="224" customWidth="1"/>
    <col min="3081" max="3081" width="10" style="224" customWidth="1"/>
    <col min="3082" max="3328" width="9.140625" style="224"/>
    <col min="3329" max="3329" width="10.28515625" style="224" customWidth="1"/>
    <col min="3330" max="3330" width="11.5703125" style="224" customWidth="1"/>
    <col min="3331" max="3331" width="11.140625" style="224" customWidth="1"/>
    <col min="3332" max="3332" width="13.140625" style="224" customWidth="1"/>
    <col min="3333" max="3333" width="17" style="224" customWidth="1"/>
    <col min="3334" max="3334" width="56.42578125" style="224" customWidth="1"/>
    <col min="3335" max="3335" width="10.5703125" style="224" customWidth="1"/>
    <col min="3336" max="3336" width="11.85546875" style="224" customWidth="1"/>
    <col min="3337" max="3337" width="10" style="224" customWidth="1"/>
    <col min="3338" max="3584" width="9.140625" style="224"/>
    <col min="3585" max="3585" width="10.28515625" style="224" customWidth="1"/>
    <col min="3586" max="3586" width="11.5703125" style="224" customWidth="1"/>
    <col min="3587" max="3587" width="11.140625" style="224" customWidth="1"/>
    <col min="3588" max="3588" width="13.140625" style="224" customWidth="1"/>
    <col min="3589" max="3589" width="17" style="224" customWidth="1"/>
    <col min="3590" max="3590" width="56.42578125" style="224" customWidth="1"/>
    <col min="3591" max="3591" width="10.5703125" style="224" customWidth="1"/>
    <col min="3592" max="3592" width="11.85546875" style="224" customWidth="1"/>
    <col min="3593" max="3593" width="10" style="224" customWidth="1"/>
    <col min="3594" max="3840" width="9.140625" style="224"/>
    <col min="3841" max="3841" width="10.28515625" style="224" customWidth="1"/>
    <col min="3842" max="3842" width="11.5703125" style="224" customWidth="1"/>
    <col min="3843" max="3843" width="11.140625" style="224" customWidth="1"/>
    <col min="3844" max="3844" width="13.140625" style="224" customWidth="1"/>
    <col min="3845" max="3845" width="17" style="224" customWidth="1"/>
    <col min="3846" max="3846" width="56.42578125" style="224" customWidth="1"/>
    <col min="3847" max="3847" width="10.5703125" style="224" customWidth="1"/>
    <col min="3848" max="3848" width="11.85546875" style="224" customWidth="1"/>
    <col min="3849" max="3849" width="10" style="224" customWidth="1"/>
    <col min="3850" max="4096" width="9.140625" style="224"/>
    <col min="4097" max="4097" width="10.28515625" style="224" customWidth="1"/>
    <col min="4098" max="4098" width="11.5703125" style="224" customWidth="1"/>
    <col min="4099" max="4099" width="11.140625" style="224" customWidth="1"/>
    <col min="4100" max="4100" width="13.140625" style="224" customWidth="1"/>
    <col min="4101" max="4101" width="17" style="224" customWidth="1"/>
    <col min="4102" max="4102" width="56.42578125" style="224" customWidth="1"/>
    <col min="4103" max="4103" width="10.5703125" style="224" customWidth="1"/>
    <col min="4104" max="4104" width="11.85546875" style="224" customWidth="1"/>
    <col min="4105" max="4105" width="10" style="224" customWidth="1"/>
    <col min="4106" max="4352" width="9.140625" style="224"/>
    <col min="4353" max="4353" width="10.28515625" style="224" customWidth="1"/>
    <col min="4354" max="4354" width="11.5703125" style="224" customWidth="1"/>
    <col min="4355" max="4355" width="11.140625" style="224" customWidth="1"/>
    <col min="4356" max="4356" width="13.140625" style="224" customWidth="1"/>
    <col min="4357" max="4357" width="17" style="224" customWidth="1"/>
    <col min="4358" max="4358" width="56.42578125" style="224" customWidth="1"/>
    <col min="4359" max="4359" width="10.5703125" style="224" customWidth="1"/>
    <col min="4360" max="4360" width="11.85546875" style="224" customWidth="1"/>
    <col min="4361" max="4361" width="10" style="224" customWidth="1"/>
    <col min="4362" max="4608" width="9.140625" style="224"/>
    <col min="4609" max="4609" width="10.28515625" style="224" customWidth="1"/>
    <col min="4610" max="4610" width="11.5703125" style="224" customWidth="1"/>
    <col min="4611" max="4611" width="11.140625" style="224" customWidth="1"/>
    <col min="4612" max="4612" width="13.140625" style="224" customWidth="1"/>
    <col min="4613" max="4613" width="17" style="224" customWidth="1"/>
    <col min="4614" max="4614" width="56.42578125" style="224" customWidth="1"/>
    <col min="4615" max="4615" width="10.5703125" style="224" customWidth="1"/>
    <col min="4616" max="4616" width="11.85546875" style="224" customWidth="1"/>
    <col min="4617" max="4617" width="10" style="224" customWidth="1"/>
    <col min="4618" max="4864" width="9.140625" style="224"/>
    <col min="4865" max="4865" width="10.28515625" style="224" customWidth="1"/>
    <col min="4866" max="4866" width="11.5703125" style="224" customWidth="1"/>
    <col min="4867" max="4867" width="11.140625" style="224" customWidth="1"/>
    <col min="4868" max="4868" width="13.140625" style="224" customWidth="1"/>
    <col min="4869" max="4869" width="17" style="224" customWidth="1"/>
    <col min="4870" max="4870" width="56.42578125" style="224" customWidth="1"/>
    <col min="4871" max="4871" width="10.5703125" style="224" customWidth="1"/>
    <col min="4872" max="4872" width="11.85546875" style="224" customWidth="1"/>
    <col min="4873" max="4873" width="10" style="224" customWidth="1"/>
    <col min="4874" max="5120" width="9.140625" style="224"/>
    <col min="5121" max="5121" width="10.28515625" style="224" customWidth="1"/>
    <col min="5122" max="5122" width="11.5703125" style="224" customWidth="1"/>
    <col min="5123" max="5123" width="11.140625" style="224" customWidth="1"/>
    <col min="5124" max="5124" width="13.140625" style="224" customWidth="1"/>
    <col min="5125" max="5125" width="17" style="224" customWidth="1"/>
    <col min="5126" max="5126" width="56.42578125" style="224" customWidth="1"/>
    <col min="5127" max="5127" width="10.5703125" style="224" customWidth="1"/>
    <col min="5128" max="5128" width="11.85546875" style="224" customWidth="1"/>
    <col min="5129" max="5129" width="10" style="224" customWidth="1"/>
    <col min="5130" max="5376" width="9.140625" style="224"/>
    <col min="5377" max="5377" width="10.28515625" style="224" customWidth="1"/>
    <col min="5378" max="5378" width="11.5703125" style="224" customWidth="1"/>
    <col min="5379" max="5379" width="11.140625" style="224" customWidth="1"/>
    <col min="5380" max="5380" width="13.140625" style="224" customWidth="1"/>
    <col min="5381" max="5381" width="17" style="224" customWidth="1"/>
    <col min="5382" max="5382" width="56.42578125" style="224" customWidth="1"/>
    <col min="5383" max="5383" width="10.5703125" style="224" customWidth="1"/>
    <col min="5384" max="5384" width="11.85546875" style="224" customWidth="1"/>
    <col min="5385" max="5385" width="10" style="224" customWidth="1"/>
    <col min="5386" max="5632" width="9.140625" style="224"/>
    <col min="5633" max="5633" width="10.28515625" style="224" customWidth="1"/>
    <col min="5634" max="5634" width="11.5703125" style="224" customWidth="1"/>
    <col min="5635" max="5635" width="11.140625" style="224" customWidth="1"/>
    <col min="5636" max="5636" width="13.140625" style="224" customWidth="1"/>
    <col min="5637" max="5637" width="17" style="224" customWidth="1"/>
    <col min="5638" max="5638" width="56.42578125" style="224" customWidth="1"/>
    <col min="5639" max="5639" width="10.5703125" style="224" customWidth="1"/>
    <col min="5640" max="5640" width="11.85546875" style="224" customWidth="1"/>
    <col min="5641" max="5641" width="10" style="224" customWidth="1"/>
    <col min="5642" max="5888" width="9.140625" style="224"/>
    <col min="5889" max="5889" width="10.28515625" style="224" customWidth="1"/>
    <col min="5890" max="5890" width="11.5703125" style="224" customWidth="1"/>
    <col min="5891" max="5891" width="11.140625" style="224" customWidth="1"/>
    <col min="5892" max="5892" width="13.140625" style="224" customWidth="1"/>
    <col min="5893" max="5893" width="17" style="224" customWidth="1"/>
    <col min="5894" max="5894" width="56.42578125" style="224" customWidth="1"/>
    <col min="5895" max="5895" width="10.5703125" style="224" customWidth="1"/>
    <col min="5896" max="5896" width="11.85546875" style="224" customWidth="1"/>
    <col min="5897" max="5897" width="10" style="224" customWidth="1"/>
    <col min="5898" max="6144" width="9.140625" style="224"/>
    <col min="6145" max="6145" width="10.28515625" style="224" customWidth="1"/>
    <col min="6146" max="6146" width="11.5703125" style="224" customWidth="1"/>
    <col min="6147" max="6147" width="11.140625" style="224" customWidth="1"/>
    <col min="6148" max="6148" width="13.140625" style="224" customWidth="1"/>
    <col min="6149" max="6149" width="17" style="224" customWidth="1"/>
    <col min="6150" max="6150" width="56.42578125" style="224" customWidth="1"/>
    <col min="6151" max="6151" width="10.5703125" style="224" customWidth="1"/>
    <col min="6152" max="6152" width="11.85546875" style="224" customWidth="1"/>
    <col min="6153" max="6153" width="10" style="224" customWidth="1"/>
    <col min="6154" max="6400" width="9.140625" style="224"/>
    <col min="6401" max="6401" width="10.28515625" style="224" customWidth="1"/>
    <col min="6402" max="6402" width="11.5703125" style="224" customWidth="1"/>
    <col min="6403" max="6403" width="11.140625" style="224" customWidth="1"/>
    <col min="6404" max="6404" width="13.140625" style="224" customWidth="1"/>
    <col min="6405" max="6405" width="17" style="224" customWidth="1"/>
    <col min="6406" max="6406" width="56.42578125" style="224" customWidth="1"/>
    <col min="6407" max="6407" width="10.5703125" style="224" customWidth="1"/>
    <col min="6408" max="6408" width="11.85546875" style="224" customWidth="1"/>
    <col min="6409" max="6409" width="10" style="224" customWidth="1"/>
    <col min="6410" max="6656" width="9.140625" style="224"/>
    <col min="6657" max="6657" width="10.28515625" style="224" customWidth="1"/>
    <col min="6658" max="6658" width="11.5703125" style="224" customWidth="1"/>
    <col min="6659" max="6659" width="11.140625" style="224" customWidth="1"/>
    <col min="6660" max="6660" width="13.140625" style="224" customWidth="1"/>
    <col min="6661" max="6661" width="17" style="224" customWidth="1"/>
    <col min="6662" max="6662" width="56.42578125" style="224" customWidth="1"/>
    <col min="6663" max="6663" width="10.5703125" style="224" customWidth="1"/>
    <col min="6664" max="6664" width="11.85546875" style="224" customWidth="1"/>
    <col min="6665" max="6665" width="10" style="224" customWidth="1"/>
    <col min="6666" max="6912" width="9.140625" style="224"/>
    <col min="6913" max="6913" width="10.28515625" style="224" customWidth="1"/>
    <col min="6914" max="6914" width="11.5703125" style="224" customWidth="1"/>
    <col min="6915" max="6915" width="11.140625" style="224" customWidth="1"/>
    <col min="6916" max="6916" width="13.140625" style="224" customWidth="1"/>
    <col min="6917" max="6917" width="17" style="224" customWidth="1"/>
    <col min="6918" max="6918" width="56.42578125" style="224" customWidth="1"/>
    <col min="6919" max="6919" width="10.5703125" style="224" customWidth="1"/>
    <col min="6920" max="6920" width="11.85546875" style="224" customWidth="1"/>
    <col min="6921" max="6921" width="10" style="224" customWidth="1"/>
    <col min="6922" max="7168" width="9.140625" style="224"/>
    <col min="7169" max="7169" width="10.28515625" style="224" customWidth="1"/>
    <col min="7170" max="7170" width="11.5703125" style="224" customWidth="1"/>
    <col min="7171" max="7171" width="11.140625" style="224" customWidth="1"/>
    <col min="7172" max="7172" width="13.140625" style="224" customWidth="1"/>
    <col min="7173" max="7173" width="17" style="224" customWidth="1"/>
    <col min="7174" max="7174" width="56.42578125" style="224" customWidth="1"/>
    <col min="7175" max="7175" width="10.5703125" style="224" customWidth="1"/>
    <col min="7176" max="7176" width="11.85546875" style="224" customWidth="1"/>
    <col min="7177" max="7177" width="10" style="224" customWidth="1"/>
    <col min="7178" max="7424" width="9.140625" style="224"/>
    <col min="7425" max="7425" width="10.28515625" style="224" customWidth="1"/>
    <col min="7426" max="7426" width="11.5703125" style="224" customWidth="1"/>
    <col min="7427" max="7427" width="11.140625" style="224" customWidth="1"/>
    <col min="7428" max="7428" width="13.140625" style="224" customWidth="1"/>
    <col min="7429" max="7429" width="17" style="224" customWidth="1"/>
    <col min="7430" max="7430" width="56.42578125" style="224" customWidth="1"/>
    <col min="7431" max="7431" width="10.5703125" style="224" customWidth="1"/>
    <col min="7432" max="7432" width="11.85546875" style="224" customWidth="1"/>
    <col min="7433" max="7433" width="10" style="224" customWidth="1"/>
    <col min="7434" max="7680" width="9.140625" style="224"/>
    <col min="7681" max="7681" width="10.28515625" style="224" customWidth="1"/>
    <col min="7682" max="7682" width="11.5703125" style="224" customWidth="1"/>
    <col min="7683" max="7683" width="11.140625" style="224" customWidth="1"/>
    <col min="7684" max="7684" width="13.140625" style="224" customWidth="1"/>
    <col min="7685" max="7685" width="17" style="224" customWidth="1"/>
    <col min="7686" max="7686" width="56.42578125" style="224" customWidth="1"/>
    <col min="7687" max="7687" width="10.5703125" style="224" customWidth="1"/>
    <col min="7688" max="7688" width="11.85546875" style="224" customWidth="1"/>
    <col min="7689" max="7689" width="10" style="224" customWidth="1"/>
    <col min="7690" max="7936" width="9.140625" style="224"/>
    <col min="7937" max="7937" width="10.28515625" style="224" customWidth="1"/>
    <col min="7938" max="7938" width="11.5703125" style="224" customWidth="1"/>
    <col min="7939" max="7939" width="11.140625" style="224" customWidth="1"/>
    <col min="7940" max="7940" width="13.140625" style="224" customWidth="1"/>
    <col min="7941" max="7941" width="17" style="224" customWidth="1"/>
    <col min="7942" max="7942" width="56.42578125" style="224" customWidth="1"/>
    <col min="7943" max="7943" width="10.5703125" style="224" customWidth="1"/>
    <col min="7944" max="7944" width="11.85546875" style="224" customWidth="1"/>
    <col min="7945" max="7945" width="10" style="224" customWidth="1"/>
    <col min="7946" max="8192" width="9.140625" style="224"/>
    <col min="8193" max="8193" width="10.28515625" style="224" customWidth="1"/>
    <col min="8194" max="8194" width="11.5703125" style="224" customWidth="1"/>
    <col min="8195" max="8195" width="11.140625" style="224" customWidth="1"/>
    <col min="8196" max="8196" width="13.140625" style="224" customWidth="1"/>
    <col min="8197" max="8197" width="17" style="224" customWidth="1"/>
    <col min="8198" max="8198" width="56.42578125" style="224" customWidth="1"/>
    <col min="8199" max="8199" width="10.5703125" style="224" customWidth="1"/>
    <col min="8200" max="8200" width="11.85546875" style="224" customWidth="1"/>
    <col min="8201" max="8201" width="10" style="224" customWidth="1"/>
    <col min="8202" max="8448" width="9.140625" style="224"/>
    <col min="8449" max="8449" width="10.28515625" style="224" customWidth="1"/>
    <col min="8450" max="8450" width="11.5703125" style="224" customWidth="1"/>
    <col min="8451" max="8451" width="11.140625" style="224" customWidth="1"/>
    <col min="8452" max="8452" width="13.140625" style="224" customWidth="1"/>
    <col min="8453" max="8453" width="17" style="224" customWidth="1"/>
    <col min="8454" max="8454" width="56.42578125" style="224" customWidth="1"/>
    <col min="8455" max="8455" width="10.5703125" style="224" customWidth="1"/>
    <col min="8456" max="8456" width="11.85546875" style="224" customWidth="1"/>
    <col min="8457" max="8457" width="10" style="224" customWidth="1"/>
    <col min="8458" max="8704" width="9.140625" style="224"/>
    <col min="8705" max="8705" width="10.28515625" style="224" customWidth="1"/>
    <col min="8706" max="8706" width="11.5703125" style="224" customWidth="1"/>
    <col min="8707" max="8707" width="11.140625" style="224" customWidth="1"/>
    <col min="8708" max="8708" width="13.140625" style="224" customWidth="1"/>
    <col min="8709" max="8709" width="17" style="224" customWidth="1"/>
    <col min="8710" max="8710" width="56.42578125" style="224" customWidth="1"/>
    <col min="8711" max="8711" width="10.5703125" style="224" customWidth="1"/>
    <col min="8712" max="8712" width="11.85546875" style="224" customWidth="1"/>
    <col min="8713" max="8713" width="10" style="224" customWidth="1"/>
    <col min="8714" max="8960" width="9.140625" style="224"/>
    <col min="8961" max="8961" width="10.28515625" style="224" customWidth="1"/>
    <col min="8962" max="8962" width="11.5703125" style="224" customWidth="1"/>
    <col min="8963" max="8963" width="11.140625" style="224" customWidth="1"/>
    <col min="8964" max="8964" width="13.140625" style="224" customWidth="1"/>
    <col min="8965" max="8965" width="17" style="224" customWidth="1"/>
    <col min="8966" max="8966" width="56.42578125" style="224" customWidth="1"/>
    <col min="8967" max="8967" width="10.5703125" style="224" customWidth="1"/>
    <col min="8968" max="8968" width="11.85546875" style="224" customWidth="1"/>
    <col min="8969" max="8969" width="10" style="224" customWidth="1"/>
    <col min="8970" max="9216" width="9.140625" style="224"/>
    <col min="9217" max="9217" width="10.28515625" style="224" customWidth="1"/>
    <col min="9218" max="9218" width="11.5703125" style="224" customWidth="1"/>
    <col min="9219" max="9219" width="11.140625" style="224" customWidth="1"/>
    <col min="9220" max="9220" width="13.140625" style="224" customWidth="1"/>
    <col min="9221" max="9221" width="17" style="224" customWidth="1"/>
    <col min="9222" max="9222" width="56.42578125" style="224" customWidth="1"/>
    <col min="9223" max="9223" width="10.5703125" style="224" customWidth="1"/>
    <col min="9224" max="9224" width="11.85546875" style="224" customWidth="1"/>
    <col min="9225" max="9225" width="10" style="224" customWidth="1"/>
    <col min="9226" max="9472" width="9.140625" style="224"/>
    <col min="9473" max="9473" width="10.28515625" style="224" customWidth="1"/>
    <col min="9474" max="9474" width="11.5703125" style="224" customWidth="1"/>
    <col min="9475" max="9475" width="11.140625" style="224" customWidth="1"/>
    <col min="9476" max="9476" width="13.140625" style="224" customWidth="1"/>
    <col min="9477" max="9477" width="17" style="224" customWidth="1"/>
    <col min="9478" max="9478" width="56.42578125" style="224" customWidth="1"/>
    <col min="9479" max="9479" width="10.5703125" style="224" customWidth="1"/>
    <col min="9480" max="9480" width="11.85546875" style="224" customWidth="1"/>
    <col min="9481" max="9481" width="10" style="224" customWidth="1"/>
    <col min="9482" max="9728" width="9.140625" style="224"/>
    <col min="9729" max="9729" width="10.28515625" style="224" customWidth="1"/>
    <col min="9730" max="9730" width="11.5703125" style="224" customWidth="1"/>
    <col min="9731" max="9731" width="11.140625" style="224" customWidth="1"/>
    <col min="9732" max="9732" width="13.140625" style="224" customWidth="1"/>
    <col min="9733" max="9733" width="17" style="224" customWidth="1"/>
    <col min="9734" max="9734" width="56.42578125" style="224" customWidth="1"/>
    <col min="9735" max="9735" width="10.5703125" style="224" customWidth="1"/>
    <col min="9736" max="9736" width="11.85546875" style="224" customWidth="1"/>
    <col min="9737" max="9737" width="10" style="224" customWidth="1"/>
    <col min="9738" max="9984" width="9.140625" style="224"/>
    <col min="9985" max="9985" width="10.28515625" style="224" customWidth="1"/>
    <col min="9986" max="9986" width="11.5703125" style="224" customWidth="1"/>
    <col min="9987" max="9987" width="11.140625" style="224" customWidth="1"/>
    <col min="9988" max="9988" width="13.140625" style="224" customWidth="1"/>
    <col min="9989" max="9989" width="17" style="224" customWidth="1"/>
    <col min="9990" max="9990" width="56.42578125" style="224" customWidth="1"/>
    <col min="9991" max="9991" width="10.5703125" style="224" customWidth="1"/>
    <col min="9992" max="9992" width="11.85546875" style="224" customWidth="1"/>
    <col min="9993" max="9993" width="10" style="224" customWidth="1"/>
    <col min="9994" max="10240" width="9.140625" style="224"/>
    <col min="10241" max="10241" width="10.28515625" style="224" customWidth="1"/>
    <col min="10242" max="10242" width="11.5703125" style="224" customWidth="1"/>
    <col min="10243" max="10243" width="11.140625" style="224" customWidth="1"/>
    <col min="10244" max="10244" width="13.140625" style="224" customWidth="1"/>
    <col min="10245" max="10245" width="17" style="224" customWidth="1"/>
    <col min="10246" max="10246" width="56.42578125" style="224" customWidth="1"/>
    <col min="10247" max="10247" width="10.5703125" style="224" customWidth="1"/>
    <col min="10248" max="10248" width="11.85546875" style="224" customWidth="1"/>
    <col min="10249" max="10249" width="10" style="224" customWidth="1"/>
    <col min="10250" max="10496" width="9.140625" style="224"/>
    <col min="10497" max="10497" width="10.28515625" style="224" customWidth="1"/>
    <col min="10498" max="10498" width="11.5703125" style="224" customWidth="1"/>
    <col min="10499" max="10499" width="11.140625" style="224" customWidth="1"/>
    <col min="10500" max="10500" width="13.140625" style="224" customWidth="1"/>
    <col min="10501" max="10501" width="17" style="224" customWidth="1"/>
    <col min="10502" max="10502" width="56.42578125" style="224" customWidth="1"/>
    <col min="10503" max="10503" width="10.5703125" style="224" customWidth="1"/>
    <col min="10504" max="10504" width="11.85546875" style="224" customWidth="1"/>
    <col min="10505" max="10505" width="10" style="224" customWidth="1"/>
    <col min="10506" max="10752" width="9.140625" style="224"/>
    <col min="10753" max="10753" width="10.28515625" style="224" customWidth="1"/>
    <col min="10754" max="10754" width="11.5703125" style="224" customWidth="1"/>
    <col min="10755" max="10755" width="11.140625" style="224" customWidth="1"/>
    <col min="10756" max="10756" width="13.140625" style="224" customWidth="1"/>
    <col min="10757" max="10757" width="17" style="224" customWidth="1"/>
    <col min="10758" max="10758" width="56.42578125" style="224" customWidth="1"/>
    <col min="10759" max="10759" width="10.5703125" style="224" customWidth="1"/>
    <col min="10760" max="10760" width="11.85546875" style="224" customWidth="1"/>
    <col min="10761" max="10761" width="10" style="224" customWidth="1"/>
    <col min="10762" max="11008" width="9.140625" style="224"/>
    <col min="11009" max="11009" width="10.28515625" style="224" customWidth="1"/>
    <col min="11010" max="11010" width="11.5703125" style="224" customWidth="1"/>
    <col min="11011" max="11011" width="11.140625" style="224" customWidth="1"/>
    <col min="11012" max="11012" width="13.140625" style="224" customWidth="1"/>
    <col min="11013" max="11013" width="17" style="224" customWidth="1"/>
    <col min="11014" max="11014" width="56.42578125" style="224" customWidth="1"/>
    <col min="11015" max="11015" width="10.5703125" style="224" customWidth="1"/>
    <col min="11016" max="11016" width="11.85546875" style="224" customWidth="1"/>
    <col min="11017" max="11017" width="10" style="224" customWidth="1"/>
    <col min="11018" max="11264" width="9.140625" style="224"/>
    <col min="11265" max="11265" width="10.28515625" style="224" customWidth="1"/>
    <col min="11266" max="11266" width="11.5703125" style="224" customWidth="1"/>
    <col min="11267" max="11267" width="11.140625" style="224" customWidth="1"/>
    <col min="11268" max="11268" width="13.140625" style="224" customWidth="1"/>
    <col min="11269" max="11269" width="17" style="224" customWidth="1"/>
    <col min="11270" max="11270" width="56.42578125" style="224" customWidth="1"/>
    <col min="11271" max="11271" width="10.5703125" style="224" customWidth="1"/>
    <col min="11272" max="11272" width="11.85546875" style="224" customWidth="1"/>
    <col min="11273" max="11273" width="10" style="224" customWidth="1"/>
    <col min="11274" max="11520" width="9.140625" style="224"/>
    <col min="11521" max="11521" width="10.28515625" style="224" customWidth="1"/>
    <col min="11522" max="11522" width="11.5703125" style="224" customWidth="1"/>
    <col min="11523" max="11523" width="11.140625" style="224" customWidth="1"/>
    <col min="11524" max="11524" width="13.140625" style="224" customWidth="1"/>
    <col min="11525" max="11525" width="17" style="224" customWidth="1"/>
    <col min="11526" max="11526" width="56.42578125" style="224" customWidth="1"/>
    <col min="11527" max="11527" width="10.5703125" style="224" customWidth="1"/>
    <col min="11528" max="11528" width="11.85546875" style="224" customWidth="1"/>
    <col min="11529" max="11529" width="10" style="224" customWidth="1"/>
    <col min="11530" max="11776" width="9.140625" style="224"/>
    <col min="11777" max="11777" width="10.28515625" style="224" customWidth="1"/>
    <col min="11778" max="11778" width="11.5703125" style="224" customWidth="1"/>
    <col min="11779" max="11779" width="11.140625" style="224" customWidth="1"/>
    <col min="11780" max="11780" width="13.140625" style="224" customWidth="1"/>
    <col min="11781" max="11781" width="17" style="224" customWidth="1"/>
    <col min="11782" max="11782" width="56.42578125" style="224" customWidth="1"/>
    <col min="11783" max="11783" width="10.5703125" style="224" customWidth="1"/>
    <col min="11784" max="11784" width="11.85546875" style="224" customWidth="1"/>
    <col min="11785" max="11785" width="10" style="224" customWidth="1"/>
    <col min="11786" max="12032" width="9.140625" style="224"/>
    <col min="12033" max="12033" width="10.28515625" style="224" customWidth="1"/>
    <col min="12034" max="12034" width="11.5703125" style="224" customWidth="1"/>
    <col min="12035" max="12035" width="11.140625" style="224" customWidth="1"/>
    <col min="12036" max="12036" width="13.140625" style="224" customWidth="1"/>
    <col min="12037" max="12037" width="17" style="224" customWidth="1"/>
    <col min="12038" max="12038" width="56.42578125" style="224" customWidth="1"/>
    <col min="12039" max="12039" width="10.5703125" style="224" customWidth="1"/>
    <col min="12040" max="12040" width="11.85546875" style="224" customWidth="1"/>
    <col min="12041" max="12041" width="10" style="224" customWidth="1"/>
    <col min="12042" max="12288" width="9.140625" style="224"/>
    <col min="12289" max="12289" width="10.28515625" style="224" customWidth="1"/>
    <col min="12290" max="12290" width="11.5703125" style="224" customWidth="1"/>
    <col min="12291" max="12291" width="11.140625" style="224" customWidth="1"/>
    <col min="12292" max="12292" width="13.140625" style="224" customWidth="1"/>
    <col min="12293" max="12293" width="17" style="224" customWidth="1"/>
    <col min="12294" max="12294" width="56.42578125" style="224" customWidth="1"/>
    <col min="12295" max="12295" width="10.5703125" style="224" customWidth="1"/>
    <col min="12296" max="12296" width="11.85546875" style="224" customWidth="1"/>
    <col min="12297" max="12297" width="10" style="224" customWidth="1"/>
    <col min="12298" max="12544" width="9.140625" style="224"/>
    <col min="12545" max="12545" width="10.28515625" style="224" customWidth="1"/>
    <col min="12546" max="12546" width="11.5703125" style="224" customWidth="1"/>
    <col min="12547" max="12547" width="11.140625" style="224" customWidth="1"/>
    <col min="12548" max="12548" width="13.140625" style="224" customWidth="1"/>
    <col min="12549" max="12549" width="17" style="224" customWidth="1"/>
    <col min="12550" max="12550" width="56.42578125" style="224" customWidth="1"/>
    <col min="12551" max="12551" width="10.5703125" style="224" customWidth="1"/>
    <col min="12552" max="12552" width="11.85546875" style="224" customWidth="1"/>
    <col min="12553" max="12553" width="10" style="224" customWidth="1"/>
    <col min="12554" max="12800" width="9.140625" style="224"/>
    <col min="12801" max="12801" width="10.28515625" style="224" customWidth="1"/>
    <col min="12802" max="12802" width="11.5703125" style="224" customWidth="1"/>
    <col min="12803" max="12803" width="11.140625" style="224" customWidth="1"/>
    <col min="12804" max="12804" width="13.140625" style="224" customWidth="1"/>
    <col min="12805" max="12805" width="17" style="224" customWidth="1"/>
    <col min="12806" max="12806" width="56.42578125" style="224" customWidth="1"/>
    <col min="12807" max="12807" width="10.5703125" style="224" customWidth="1"/>
    <col min="12808" max="12808" width="11.85546875" style="224" customWidth="1"/>
    <col min="12809" max="12809" width="10" style="224" customWidth="1"/>
    <col min="12810" max="13056" width="9.140625" style="224"/>
    <col min="13057" max="13057" width="10.28515625" style="224" customWidth="1"/>
    <col min="13058" max="13058" width="11.5703125" style="224" customWidth="1"/>
    <col min="13059" max="13059" width="11.140625" style="224" customWidth="1"/>
    <col min="13060" max="13060" width="13.140625" style="224" customWidth="1"/>
    <col min="13061" max="13061" width="17" style="224" customWidth="1"/>
    <col min="13062" max="13062" width="56.42578125" style="224" customWidth="1"/>
    <col min="13063" max="13063" width="10.5703125" style="224" customWidth="1"/>
    <col min="13064" max="13064" width="11.85546875" style="224" customWidth="1"/>
    <col min="13065" max="13065" width="10" style="224" customWidth="1"/>
    <col min="13066" max="13312" width="9.140625" style="224"/>
    <col min="13313" max="13313" width="10.28515625" style="224" customWidth="1"/>
    <col min="13314" max="13314" width="11.5703125" style="224" customWidth="1"/>
    <col min="13315" max="13315" width="11.140625" style="224" customWidth="1"/>
    <col min="13316" max="13316" width="13.140625" style="224" customWidth="1"/>
    <col min="13317" max="13317" width="17" style="224" customWidth="1"/>
    <col min="13318" max="13318" width="56.42578125" style="224" customWidth="1"/>
    <col min="13319" max="13319" width="10.5703125" style="224" customWidth="1"/>
    <col min="13320" max="13320" width="11.85546875" style="224" customWidth="1"/>
    <col min="13321" max="13321" width="10" style="224" customWidth="1"/>
    <col min="13322" max="13568" width="9.140625" style="224"/>
    <col min="13569" max="13569" width="10.28515625" style="224" customWidth="1"/>
    <col min="13570" max="13570" width="11.5703125" style="224" customWidth="1"/>
    <col min="13571" max="13571" width="11.140625" style="224" customWidth="1"/>
    <col min="13572" max="13572" width="13.140625" style="224" customWidth="1"/>
    <col min="13573" max="13573" width="17" style="224" customWidth="1"/>
    <col min="13574" max="13574" width="56.42578125" style="224" customWidth="1"/>
    <col min="13575" max="13575" width="10.5703125" style="224" customWidth="1"/>
    <col min="13576" max="13576" width="11.85546875" style="224" customWidth="1"/>
    <col min="13577" max="13577" width="10" style="224" customWidth="1"/>
    <col min="13578" max="13824" width="9.140625" style="224"/>
    <col min="13825" max="13825" width="10.28515625" style="224" customWidth="1"/>
    <col min="13826" max="13826" width="11.5703125" style="224" customWidth="1"/>
    <col min="13827" max="13827" width="11.140625" style="224" customWidth="1"/>
    <col min="13828" max="13828" width="13.140625" style="224" customWidth="1"/>
    <col min="13829" max="13829" width="17" style="224" customWidth="1"/>
    <col min="13830" max="13830" width="56.42578125" style="224" customWidth="1"/>
    <col min="13831" max="13831" width="10.5703125" style="224" customWidth="1"/>
    <col min="13832" max="13832" width="11.85546875" style="224" customWidth="1"/>
    <col min="13833" max="13833" width="10" style="224" customWidth="1"/>
    <col min="13834" max="14080" width="9.140625" style="224"/>
    <col min="14081" max="14081" width="10.28515625" style="224" customWidth="1"/>
    <col min="14082" max="14082" width="11.5703125" style="224" customWidth="1"/>
    <col min="14083" max="14083" width="11.140625" style="224" customWidth="1"/>
    <col min="14084" max="14084" width="13.140625" style="224" customWidth="1"/>
    <col min="14085" max="14085" width="17" style="224" customWidth="1"/>
    <col min="14086" max="14086" width="56.42578125" style="224" customWidth="1"/>
    <col min="14087" max="14087" width="10.5703125" style="224" customWidth="1"/>
    <col min="14088" max="14088" width="11.85546875" style="224" customWidth="1"/>
    <col min="14089" max="14089" width="10" style="224" customWidth="1"/>
    <col min="14090" max="14336" width="9.140625" style="224"/>
    <col min="14337" max="14337" width="10.28515625" style="224" customWidth="1"/>
    <col min="14338" max="14338" width="11.5703125" style="224" customWidth="1"/>
    <col min="14339" max="14339" width="11.140625" style="224" customWidth="1"/>
    <col min="14340" max="14340" width="13.140625" style="224" customWidth="1"/>
    <col min="14341" max="14341" width="17" style="224" customWidth="1"/>
    <col min="14342" max="14342" width="56.42578125" style="224" customWidth="1"/>
    <col min="14343" max="14343" width="10.5703125" style="224" customWidth="1"/>
    <col min="14344" max="14344" width="11.85546875" style="224" customWidth="1"/>
    <col min="14345" max="14345" width="10" style="224" customWidth="1"/>
    <col min="14346" max="14592" width="9.140625" style="224"/>
    <col min="14593" max="14593" width="10.28515625" style="224" customWidth="1"/>
    <col min="14594" max="14594" width="11.5703125" style="224" customWidth="1"/>
    <col min="14595" max="14595" width="11.140625" style="224" customWidth="1"/>
    <col min="14596" max="14596" width="13.140625" style="224" customWidth="1"/>
    <col min="14597" max="14597" width="17" style="224" customWidth="1"/>
    <col min="14598" max="14598" width="56.42578125" style="224" customWidth="1"/>
    <col min="14599" max="14599" width="10.5703125" style="224" customWidth="1"/>
    <col min="14600" max="14600" width="11.85546875" style="224" customWidth="1"/>
    <col min="14601" max="14601" width="10" style="224" customWidth="1"/>
    <col min="14602" max="14848" width="9.140625" style="224"/>
    <col min="14849" max="14849" width="10.28515625" style="224" customWidth="1"/>
    <col min="14850" max="14850" width="11.5703125" style="224" customWidth="1"/>
    <col min="14851" max="14851" width="11.140625" style="224" customWidth="1"/>
    <col min="14852" max="14852" width="13.140625" style="224" customWidth="1"/>
    <col min="14853" max="14853" width="17" style="224" customWidth="1"/>
    <col min="14854" max="14854" width="56.42578125" style="224" customWidth="1"/>
    <col min="14855" max="14855" width="10.5703125" style="224" customWidth="1"/>
    <col min="14856" max="14856" width="11.85546875" style="224" customWidth="1"/>
    <col min="14857" max="14857" width="10" style="224" customWidth="1"/>
    <col min="14858" max="15104" width="9.140625" style="224"/>
    <col min="15105" max="15105" width="10.28515625" style="224" customWidth="1"/>
    <col min="15106" max="15106" width="11.5703125" style="224" customWidth="1"/>
    <col min="15107" max="15107" width="11.140625" style="224" customWidth="1"/>
    <col min="15108" max="15108" width="13.140625" style="224" customWidth="1"/>
    <col min="15109" max="15109" width="17" style="224" customWidth="1"/>
    <col min="15110" max="15110" width="56.42578125" style="224" customWidth="1"/>
    <col min="15111" max="15111" width="10.5703125" style="224" customWidth="1"/>
    <col min="15112" max="15112" width="11.85546875" style="224" customWidth="1"/>
    <col min="15113" max="15113" width="10" style="224" customWidth="1"/>
    <col min="15114" max="15360" width="9.140625" style="224"/>
    <col min="15361" max="15361" width="10.28515625" style="224" customWidth="1"/>
    <col min="15362" max="15362" width="11.5703125" style="224" customWidth="1"/>
    <col min="15363" max="15363" width="11.140625" style="224" customWidth="1"/>
    <col min="15364" max="15364" width="13.140625" style="224" customWidth="1"/>
    <col min="15365" max="15365" width="17" style="224" customWidth="1"/>
    <col min="15366" max="15366" width="56.42578125" style="224" customWidth="1"/>
    <col min="15367" max="15367" width="10.5703125" style="224" customWidth="1"/>
    <col min="15368" max="15368" width="11.85546875" style="224" customWidth="1"/>
    <col min="15369" max="15369" width="10" style="224" customWidth="1"/>
    <col min="15370" max="15616" width="9.140625" style="224"/>
    <col min="15617" max="15617" width="10.28515625" style="224" customWidth="1"/>
    <col min="15618" max="15618" width="11.5703125" style="224" customWidth="1"/>
    <col min="15619" max="15619" width="11.140625" style="224" customWidth="1"/>
    <col min="15620" max="15620" width="13.140625" style="224" customWidth="1"/>
    <col min="15621" max="15621" width="17" style="224" customWidth="1"/>
    <col min="15622" max="15622" width="56.42578125" style="224" customWidth="1"/>
    <col min="15623" max="15623" width="10.5703125" style="224" customWidth="1"/>
    <col min="15624" max="15624" width="11.85546875" style="224" customWidth="1"/>
    <col min="15625" max="15625" width="10" style="224" customWidth="1"/>
    <col min="15626" max="15872" width="9.140625" style="224"/>
    <col min="15873" max="15873" width="10.28515625" style="224" customWidth="1"/>
    <col min="15874" max="15874" width="11.5703125" style="224" customWidth="1"/>
    <col min="15875" max="15875" width="11.140625" style="224" customWidth="1"/>
    <col min="15876" max="15876" width="13.140625" style="224" customWidth="1"/>
    <col min="15877" max="15877" width="17" style="224" customWidth="1"/>
    <col min="15878" max="15878" width="56.42578125" style="224" customWidth="1"/>
    <col min="15879" max="15879" width="10.5703125" style="224" customWidth="1"/>
    <col min="15880" max="15880" width="11.85546875" style="224" customWidth="1"/>
    <col min="15881" max="15881" width="10" style="224" customWidth="1"/>
    <col min="15882" max="16128" width="9.140625" style="224"/>
    <col min="16129" max="16129" width="10.28515625" style="224" customWidth="1"/>
    <col min="16130" max="16130" width="11.5703125" style="224" customWidth="1"/>
    <col min="16131" max="16131" width="11.140625" style="224" customWidth="1"/>
    <col min="16132" max="16132" width="13.140625" style="224" customWidth="1"/>
    <col min="16133" max="16133" width="17" style="224" customWidth="1"/>
    <col min="16134" max="16134" width="56.42578125" style="224" customWidth="1"/>
    <col min="16135" max="16135" width="10.5703125" style="224" customWidth="1"/>
    <col min="16136" max="16136" width="11.85546875" style="224" customWidth="1"/>
    <col min="16137" max="16137" width="10" style="224" customWidth="1"/>
    <col min="16138" max="16384" width="9.140625" style="224"/>
  </cols>
  <sheetData>
    <row r="1" spans="1:9" s="187" customFormat="1" x14ac:dyDescent="0.2">
      <c r="G1" s="188"/>
      <c r="H1" s="189"/>
    </row>
    <row r="2" spans="1:9" s="195" customFormat="1" x14ac:dyDescent="0.2">
      <c r="A2" s="190" t="s">
        <v>59</v>
      </c>
      <c r="B2" s="190" t="s">
        <v>2</v>
      </c>
      <c r="C2" s="191" t="s">
        <v>60</v>
      </c>
      <c r="D2" s="191" t="s">
        <v>61</v>
      </c>
      <c r="E2" s="192" t="s">
        <v>62</v>
      </c>
      <c r="F2" s="192" t="s">
        <v>63</v>
      </c>
      <c r="G2" s="193">
        <f>SUM(G3:G27)</f>
        <v>4987406.87</v>
      </c>
      <c r="H2" s="191" t="s">
        <v>64</v>
      </c>
      <c r="I2" s="194"/>
    </row>
    <row r="3" spans="1:9" s="187" customFormat="1" x14ac:dyDescent="0.2">
      <c r="A3" s="196" t="s">
        <v>65</v>
      </c>
      <c r="B3" s="197">
        <v>45723</v>
      </c>
      <c r="C3" s="198" t="s">
        <v>396</v>
      </c>
      <c r="D3" s="198" t="s">
        <v>259</v>
      </c>
      <c r="E3" s="199" t="s">
        <v>66</v>
      </c>
      <c r="F3" s="199" t="s">
        <v>67</v>
      </c>
      <c r="G3" s="200">
        <v>19.579999999999998</v>
      </c>
      <c r="H3" s="198"/>
    </row>
    <row r="4" spans="1:9" s="187" customFormat="1" x14ac:dyDescent="0.2">
      <c r="A4" s="196" t="s">
        <v>65</v>
      </c>
      <c r="B4" s="197">
        <v>45723</v>
      </c>
      <c r="C4" s="198" t="s">
        <v>396</v>
      </c>
      <c r="D4" s="198" t="s">
        <v>261</v>
      </c>
      <c r="E4" s="199" t="s">
        <v>66</v>
      </c>
      <c r="F4" s="199" t="s">
        <v>68</v>
      </c>
      <c r="G4" s="200">
        <v>176</v>
      </c>
      <c r="H4" s="198"/>
    </row>
    <row r="5" spans="1:9" s="187" customFormat="1" x14ac:dyDescent="0.2">
      <c r="A5" s="196" t="s">
        <v>65</v>
      </c>
      <c r="B5" s="197">
        <v>45723</v>
      </c>
      <c r="C5" s="198" t="s">
        <v>396</v>
      </c>
      <c r="D5" s="198" t="s">
        <v>265</v>
      </c>
      <c r="E5" s="199" t="s">
        <v>66</v>
      </c>
      <c r="F5" s="199" t="s">
        <v>70</v>
      </c>
      <c r="G5" s="200">
        <v>20848.87</v>
      </c>
      <c r="H5" s="198"/>
    </row>
    <row r="6" spans="1:9" s="187" customFormat="1" x14ac:dyDescent="0.2">
      <c r="A6" s="196" t="s">
        <v>65</v>
      </c>
      <c r="B6" s="197">
        <v>45723</v>
      </c>
      <c r="C6" s="198" t="s">
        <v>396</v>
      </c>
      <c r="D6" s="198" t="s">
        <v>267</v>
      </c>
      <c r="E6" s="199" t="s">
        <v>66</v>
      </c>
      <c r="F6" s="199" t="s">
        <v>71</v>
      </c>
      <c r="G6" s="200">
        <v>229</v>
      </c>
      <c r="H6" s="198"/>
    </row>
    <row r="7" spans="1:9" s="187" customFormat="1" x14ac:dyDescent="0.2">
      <c r="A7" s="196" t="s">
        <v>65</v>
      </c>
      <c r="B7" s="197">
        <v>45723</v>
      </c>
      <c r="C7" s="198" t="s">
        <v>396</v>
      </c>
      <c r="D7" s="198" t="s">
        <v>269</v>
      </c>
      <c r="E7" s="199" t="s">
        <v>66</v>
      </c>
      <c r="F7" s="199" t="s">
        <v>72</v>
      </c>
      <c r="G7" s="200">
        <v>195</v>
      </c>
      <c r="H7" s="198"/>
    </row>
    <row r="8" spans="1:9" s="187" customFormat="1" x14ac:dyDescent="0.2">
      <c r="A8" s="196" t="s">
        <v>65</v>
      </c>
      <c r="B8" s="197">
        <v>45723</v>
      </c>
      <c r="C8" s="198" t="s">
        <v>396</v>
      </c>
      <c r="D8" s="198" t="s">
        <v>271</v>
      </c>
      <c r="E8" s="199" t="s">
        <v>66</v>
      </c>
      <c r="F8" s="199" t="s">
        <v>73</v>
      </c>
      <c r="G8" s="200">
        <v>9804.94</v>
      </c>
      <c r="H8" s="198"/>
    </row>
    <row r="9" spans="1:9" s="187" customFormat="1" x14ac:dyDescent="0.2">
      <c r="A9" s="196" t="s">
        <v>65</v>
      </c>
      <c r="B9" s="197">
        <v>45723</v>
      </c>
      <c r="C9" s="198" t="s">
        <v>396</v>
      </c>
      <c r="D9" s="198" t="s">
        <v>273</v>
      </c>
      <c r="E9" s="199" t="s">
        <v>66</v>
      </c>
      <c r="F9" s="199" t="s">
        <v>88</v>
      </c>
      <c r="G9" s="200">
        <v>2050.2600000000002</v>
      </c>
      <c r="H9" s="198"/>
    </row>
    <row r="10" spans="1:9" s="187" customFormat="1" x14ac:dyDescent="0.2">
      <c r="A10" s="196" t="s">
        <v>65</v>
      </c>
      <c r="B10" s="197">
        <v>45723</v>
      </c>
      <c r="C10" s="198" t="s">
        <v>396</v>
      </c>
      <c r="D10" s="198" t="s">
        <v>275</v>
      </c>
      <c r="E10" s="199" t="s">
        <v>66</v>
      </c>
      <c r="F10" s="199" t="s">
        <v>74</v>
      </c>
      <c r="G10" s="200">
        <v>726074.89</v>
      </c>
      <c r="H10" s="198"/>
    </row>
    <row r="11" spans="1:9" s="187" customFormat="1" x14ac:dyDescent="0.2">
      <c r="A11" s="196" t="s">
        <v>65</v>
      </c>
      <c r="B11" s="197">
        <v>45723</v>
      </c>
      <c r="C11" s="198" t="s">
        <v>396</v>
      </c>
      <c r="D11" s="198" t="s">
        <v>277</v>
      </c>
      <c r="E11" s="199" t="s">
        <v>66</v>
      </c>
      <c r="F11" s="199" t="s">
        <v>74</v>
      </c>
      <c r="G11" s="200">
        <v>348118.74</v>
      </c>
      <c r="H11" s="198"/>
    </row>
    <row r="12" spans="1:9" s="187" customFormat="1" x14ac:dyDescent="0.2">
      <c r="A12" s="196" t="s">
        <v>65</v>
      </c>
      <c r="B12" s="197">
        <v>45723</v>
      </c>
      <c r="C12" s="198" t="s">
        <v>396</v>
      </c>
      <c r="D12" s="198" t="s">
        <v>279</v>
      </c>
      <c r="E12" s="199" t="s">
        <v>66</v>
      </c>
      <c r="F12" s="199" t="s">
        <v>75</v>
      </c>
      <c r="G12" s="200">
        <v>48628.7</v>
      </c>
      <c r="H12" s="198"/>
    </row>
    <row r="13" spans="1:9" s="187" customFormat="1" x14ac:dyDescent="0.2">
      <c r="A13" s="196" t="s">
        <v>65</v>
      </c>
      <c r="B13" s="197">
        <v>45723</v>
      </c>
      <c r="C13" s="198" t="s">
        <v>396</v>
      </c>
      <c r="D13" s="198" t="s">
        <v>281</v>
      </c>
      <c r="E13" s="199" t="s">
        <v>66</v>
      </c>
      <c r="F13" s="199" t="s">
        <v>76</v>
      </c>
      <c r="G13" s="200">
        <v>327.45</v>
      </c>
      <c r="H13" s="198"/>
    </row>
    <row r="14" spans="1:9" s="187" customFormat="1" x14ac:dyDescent="0.2">
      <c r="A14" s="196" t="s">
        <v>65</v>
      </c>
      <c r="B14" s="197">
        <v>45723</v>
      </c>
      <c r="C14" s="198" t="s">
        <v>396</v>
      </c>
      <c r="D14" s="198" t="s">
        <v>283</v>
      </c>
      <c r="E14" s="199" t="s">
        <v>66</v>
      </c>
      <c r="F14" s="199" t="s">
        <v>77</v>
      </c>
      <c r="G14" s="200">
        <v>393757.5</v>
      </c>
      <c r="H14" s="198"/>
    </row>
    <row r="15" spans="1:9" s="187" customFormat="1" x14ac:dyDescent="0.2">
      <c r="A15" s="196" t="s">
        <v>65</v>
      </c>
      <c r="B15" s="197">
        <v>45723</v>
      </c>
      <c r="C15" s="198" t="s">
        <v>396</v>
      </c>
      <c r="D15" s="198" t="s">
        <v>285</v>
      </c>
      <c r="E15" s="199" t="s">
        <v>66</v>
      </c>
      <c r="F15" s="199" t="s">
        <v>78</v>
      </c>
      <c r="G15" s="200">
        <v>745</v>
      </c>
      <c r="H15" s="198"/>
    </row>
    <row r="16" spans="1:9" s="187" customFormat="1" x14ac:dyDescent="0.2">
      <c r="A16" s="196" t="s">
        <v>65</v>
      </c>
      <c r="B16" s="197">
        <v>45723</v>
      </c>
      <c r="C16" s="198" t="s">
        <v>396</v>
      </c>
      <c r="D16" s="198" t="s">
        <v>287</v>
      </c>
      <c r="E16" s="199" t="s">
        <v>66</v>
      </c>
      <c r="F16" s="199" t="s">
        <v>79</v>
      </c>
      <c r="G16" s="200">
        <v>84</v>
      </c>
      <c r="H16" s="198"/>
    </row>
    <row r="17" spans="1:9" s="187" customFormat="1" x14ac:dyDescent="0.2">
      <c r="A17" s="196" t="s">
        <v>65</v>
      </c>
      <c r="B17" s="197">
        <v>45723</v>
      </c>
      <c r="C17" s="198" t="s">
        <v>396</v>
      </c>
      <c r="D17" s="198" t="s">
        <v>291</v>
      </c>
      <c r="E17" s="201" t="s">
        <v>66</v>
      </c>
      <c r="F17" s="201" t="s">
        <v>81</v>
      </c>
      <c r="G17" s="202">
        <v>4501.58</v>
      </c>
      <c r="H17" s="198"/>
    </row>
    <row r="18" spans="1:9" s="187" customFormat="1" x14ac:dyDescent="0.2">
      <c r="A18" s="196" t="s">
        <v>65</v>
      </c>
      <c r="B18" s="197">
        <v>45723</v>
      </c>
      <c r="C18" s="198" t="s">
        <v>396</v>
      </c>
      <c r="D18" s="198" t="s">
        <v>295</v>
      </c>
      <c r="E18" s="199" t="s">
        <v>66</v>
      </c>
      <c r="F18" s="199" t="s">
        <v>497</v>
      </c>
      <c r="G18" s="200">
        <v>100.68</v>
      </c>
      <c r="H18" s="198"/>
    </row>
    <row r="19" spans="1:9" s="187" customFormat="1" x14ac:dyDescent="0.2">
      <c r="A19" s="196" t="s">
        <v>65</v>
      </c>
      <c r="B19" s="197">
        <v>45723</v>
      </c>
      <c r="C19" s="198" t="s">
        <v>396</v>
      </c>
      <c r="D19" s="198" t="s">
        <v>297</v>
      </c>
      <c r="E19" s="199" t="s">
        <v>66</v>
      </c>
      <c r="F19" s="199" t="s">
        <v>82</v>
      </c>
      <c r="G19" s="200">
        <v>3172343.32</v>
      </c>
      <c r="H19" s="198"/>
    </row>
    <row r="20" spans="1:9" s="187" customFormat="1" x14ac:dyDescent="0.2">
      <c r="A20" s="203" t="s">
        <v>65</v>
      </c>
      <c r="B20" s="197">
        <v>45723</v>
      </c>
      <c r="C20" s="198" t="s">
        <v>396</v>
      </c>
      <c r="D20" s="204" t="s">
        <v>299</v>
      </c>
      <c r="E20" s="199" t="s">
        <v>66</v>
      </c>
      <c r="F20" s="205" t="s">
        <v>83</v>
      </c>
      <c r="G20" s="206">
        <v>46665.63</v>
      </c>
      <c r="H20" s="207"/>
    </row>
    <row r="21" spans="1:9" s="209" customFormat="1" x14ac:dyDescent="0.2">
      <c r="A21" s="196" t="s">
        <v>65</v>
      </c>
      <c r="B21" s="197">
        <v>45723</v>
      </c>
      <c r="C21" s="198" t="s">
        <v>396</v>
      </c>
      <c r="D21" s="198" t="s">
        <v>301</v>
      </c>
      <c r="E21" s="199" t="s">
        <v>66</v>
      </c>
      <c r="F21" s="199" t="s">
        <v>83</v>
      </c>
      <c r="G21" s="200">
        <v>25986.04</v>
      </c>
      <c r="H21" s="208"/>
    </row>
    <row r="22" spans="1:9" s="211" customFormat="1" x14ac:dyDescent="0.2">
      <c r="A22" s="196" t="s">
        <v>65</v>
      </c>
      <c r="B22" s="197">
        <v>45723</v>
      </c>
      <c r="C22" s="198" t="s">
        <v>396</v>
      </c>
      <c r="D22" s="198" t="s">
        <v>303</v>
      </c>
      <c r="E22" s="199" t="s">
        <v>66</v>
      </c>
      <c r="F22" s="199" t="s">
        <v>83</v>
      </c>
      <c r="G22" s="200">
        <v>1882.48</v>
      </c>
      <c r="H22" s="210"/>
    </row>
    <row r="23" spans="1:9" s="187" customFormat="1" x14ac:dyDescent="0.2">
      <c r="A23" s="212" t="s">
        <v>65</v>
      </c>
      <c r="B23" s="213">
        <v>45723</v>
      </c>
      <c r="C23" s="207" t="s">
        <v>396</v>
      </c>
      <c r="D23" s="207" t="s">
        <v>496</v>
      </c>
      <c r="E23" s="214" t="s">
        <v>66</v>
      </c>
      <c r="F23" s="214" t="s">
        <v>89</v>
      </c>
      <c r="G23" s="215">
        <v>111.18</v>
      </c>
      <c r="H23" s="216" t="s">
        <v>498</v>
      </c>
    </row>
    <row r="24" spans="1:9" s="187" customFormat="1" x14ac:dyDescent="0.2">
      <c r="A24" s="196" t="s">
        <v>65</v>
      </c>
      <c r="B24" s="197">
        <v>45723</v>
      </c>
      <c r="C24" s="198" t="s">
        <v>396</v>
      </c>
      <c r="D24" s="198" t="s">
        <v>305</v>
      </c>
      <c r="E24" s="199" t="s">
        <v>66</v>
      </c>
      <c r="F24" s="199" t="s">
        <v>84</v>
      </c>
      <c r="G24" s="200">
        <v>183951.72</v>
      </c>
      <c r="H24" s="198"/>
    </row>
    <row r="25" spans="1:9" s="187" customFormat="1" x14ac:dyDescent="0.2">
      <c r="A25" s="196" t="s">
        <v>65</v>
      </c>
      <c r="B25" s="197">
        <v>45723</v>
      </c>
      <c r="C25" s="198" t="s">
        <v>396</v>
      </c>
      <c r="D25" s="198" t="s">
        <v>307</v>
      </c>
      <c r="E25" s="199" t="s">
        <v>66</v>
      </c>
      <c r="F25" s="199" t="s">
        <v>93</v>
      </c>
      <c r="G25" s="200">
        <v>13.09</v>
      </c>
      <c r="H25" s="198"/>
    </row>
    <row r="26" spans="1:9" s="187" customFormat="1" x14ac:dyDescent="0.2">
      <c r="A26" s="196" t="s">
        <v>65</v>
      </c>
      <c r="B26" s="197">
        <v>45723</v>
      </c>
      <c r="C26" s="198" t="s">
        <v>396</v>
      </c>
      <c r="D26" s="198" t="s">
        <v>311</v>
      </c>
      <c r="E26" s="199" t="s">
        <v>66</v>
      </c>
      <c r="F26" s="199" t="s">
        <v>85</v>
      </c>
      <c r="G26" s="200">
        <v>320.23</v>
      </c>
      <c r="H26" s="217"/>
    </row>
    <row r="27" spans="1:9" s="187" customFormat="1" x14ac:dyDescent="0.2">
      <c r="A27" s="196" t="s">
        <v>65</v>
      </c>
      <c r="B27" s="197">
        <v>45723</v>
      </c>
      <c r="C27" s="198" t="s">
        <v>396</v>
      </c>
      <c r="D27" s="218" t="s">
        <v>315</v>
      </c>
      <c r="E27" s="199" t="s">
        <v>66</v>
      </c>
      <c r="F27" s="201" t="s">
        <v>86</v>
      </c>
      <c r="G27" s="202">
        <v>470.99</v>
      </c>
      <c r="H27" s="219"/>
      <c r="I27" s="220"/>
    </row>
    <row r="28" spans="1:9" s="187" customFormat="1" x14ac:dyDescent="0.2">
      <c r="G28" s="188"/>
      <c r="H28" s="189"/>
    </row>
    <row r="29" spans="1:9" s="195" customFormat="1" x14ac:dyDescent="0.2">
      <c r="A29" s="190" t="s">
        <v>59</v>
      </c>
      <c r="B29" s="190" t="s">
        <v>2</v>
      </c>
      <c r="C29" s="191" t="s">
        <v>60</v>
      </c>
      <c r="D29" s="191" t="s">
        <v>61</v>
      </c>
      <c r="E29" s="192" t="s">
        <v>62</v>
      </c>
      <c r="F29" s="192" t="s">
        <v>63</v>
      </c>
      <c r="G29" s="193">
        <f>SUM(G30:G34)</f>
        <v>12139972.629999999</v>
      </c>
      <c r="H29" s="191" t="s">
        <v>64</v>
      </c>
      <c r="I29" s="194"/>
    </row>
    <row r="30" spans="1:9" s="187" customFormat="1" x14ac:dyDescent="0.2">
      <c r="A30" s="196" t="s">
        <v>65</v>
      </c>
      <c r="B30" s="197">
        <v>45723</v>
      </c>
      <c r="C30" s="221" t="s">
        <v>395</v>
      </c>
      <c r="D30" s="198" t="s">
        <v>263</v>
      </c>
      <c r="E30" s="199" t="s">
        <v>66</v>
      </c>
      <c r="F30" s="199" t="s">
        <v>69</v>
      </c>
      <c r="G30" s="200">
        <v>93</v>
      </c>
      <c r="H30" s="198"/>
    </row>
    <row r="31" spans="1:9" s="187" customFormat="1" x14ac:dyDescent="0.2">
      <c r="A31" s="196" t="s">
        <v>65</v>
      </c>
      <c r="B31" s="197">
        <v>45723</v>
      </c>
      <c r="C31" s="221" t="s">
        <v>395</v>
      </c>
      <c r="D31" s="198" t="s">
        <v>289</v>
      </c>
      <c r="E31" s="199" t="s">
        <v>66</v>
      </c>
      <c r="F31" s="199" t="s">
        <v>80</v>
      </c>
      <c r="G31" s="200">
        <v>8643454.1099999994</v>
      </c>
      <c r="H31" s="198"/>
    </row>
    <row r="32" spans="1:9" s="187" customFormat="1" x14ac:dyDescent="0.2">
      <c r="A32" s="196" t="s">
        <v>65</v>
      </c>
      <c r="B32" s="197">
        <v>45723</v>
      </c>
      <c r="C32" s="221" t="s">
        <v>395</v>
      </c>
      <c r="D32" s="198" t="s">
        <v>293</v>
      </c>
      <c r="E32" s="199" t="s">
        <v>66</v>
      </c>
      <c r="F32" s="199" t="s">
        <v>87</v>
      </c>
      <c r="G32" s="200">
        <v>3409140.03</v>
      </c>
      <c r="H32" s="198"/>
    </row>
    <row r="33" spans="1:9" s="187" customFormat="1" x14ac:dyDescent="0.2">
      <c r="A33" s="196" t="s">
        <v>65</v>
      </c>
      <c r="B33" s="197">
        <v>45723</v>
      </c>
      <c r="C33" s="221" t="s">
        <v>395</v>
      </c>
      <c r="D33" s="198" t="s">
        <v>309</v>
      </c>
      <c r="E33" s="199" t="s">
        <v>66</v>
      </c>
      <c r="F33" s="199" t="s">
        <v>499</v>
      </c>
      <c r="G33" s="200">
        <v>478.49</v>
      </c>
      <c r="H33" s="198"/>
    </row>
    <row r="34" spans="1:9" s="187" customFormat="1" x14ac:dyDescent="0.2">
      <c r="A34" s="196" t="s">
        <v>65</v>
      </c>
      <c r="B34" s="197">
        <v>45723</v>
      </c>
      <c r="C34" s="221" t="s">
        <v>395</v>
      </c>
      <c r="D34" s="198" t="s">
        <v>313</v>
      </c>
      <c r="E34" s="199" t="s">
        <v>66</v>
      </c>
      <c r="F34" s="199" t="s">
        <v>90</v>
      </c>
      <c r="G34" s="200">
        <v>86807</v>
      </c>
      <c r="H34" s="198"/>
      <c r="I34" s="222"/>
    </row>
    <row r="36" spans="1:9" s="195" customFormat="1" x14ac:dyDescent="0.2">
      <c r="A36" s="190" t="s">
        <v>59</v>
      </c>
      <c r="B36" s="190" t="s">
        <v>2</v>
      </c>
      <c r="C36" s="191" t="s">
        <v>60</v>
      </c>
      <c r="D36" s="191" t="s">
        <v>61</v>
      </c>
      <c r="E36" s="192" t="s">
        <v>62</v>
      </c>
      <c r="F36" s="192" t="s">
        <v>63</v>
      </c>
      <c r="G36" s="193">
        <f>SUM(G37:G45)</f>
        <v>23448005.870000005</v>
      </c>
      <c r="H36" s="191" t="s">
        <v>64</v>
      </c>
      <c r="I36" s="194"/>
    </row>
    <row r="37" spans="1:9" s="187" customFormat="1" x14ac:dyDescent="0.2">
      <c r="A37" s="196" t="s">
        <v>65</v>
      </c>
      <c r="B37" s="197">
        <v>45726</v>
      </c>
      <c r="C37" s="221" t="s">
        <v>388</v>
      </c>
      <c r="D37" s="198" t="s">
        <v>317</v>
      </c>
      <c r="E37" s="199" t="s">
        <v>66</v>
      </c>
      <c r="F37" s="199" t="s">
        <v>87</v>
      </c>
      <c r="G37" s="200">
        <v>7701836.7199999997</v>
      </c>
      <c r="H37" s="198"/>
    </row>
    <row r="38" spans="1:9" s="187" customFormat="1" x14ac:dyDescent="0.2">
      <c r="A38" s="196" t="s">
        <v>65</v>
      </c>
      <c r="B38" s="197">
        <v>45726</v>
      </c>
      <c r="C38" s="221" t="s">
        <v>388</v>
      </c>
      <c r="D38" s="198" t="s">
        <v>319</v>
      </c>
      <c r="E38" s="199" t="s">
        <v>66</v>
      </c>
      <c r="F38" s="199" t="s">
        <v>87</v>
      </c>
      <c r="G38" s="200">
        <v>2361.69</v>
      </c>
      <c r="H38" s="198"/>
    </row>
    <row r="39" spans="1:9" s="187" customFormat="1" x14ac:dyDescent="0.2">
      <c r="A39" s="196" t="s">
        <v>65</v>
      </c>
      <c r="B39" s="197">
        <v>45726</v>
      </c>
      <c r="C39" s="221" t="s">
        <v>388</v>
      </c>
      <c r="D39" s="198" t="s">
        <v>355</v>
      </c>
      <c r="E39" s="199" t="s">
        <v>66</v>
      </c>
      <c r="F39" s="199" t="s">
        <v>91</v>
      </c>
      <c r="G39" s="200">
        <v>2761697.75</v>
      </c>
      <c r="H39" s="198"/>
    </row>
    <row r="40" spans="1:9" s="187" customFormat="1" x14ac:dyDescent="0.2">
      <c r="A40" s="196" t="s">
        <v>65</v>
      </c>
      <c r="B40" s="197">
        <v>45726</v>
      </c>
      <c r="C40" s="221" t="s">
        <v>388</v>
      </c>
      <c r="D40" s="198" t="s">
        <v>357</v>
      </c>
      <c r="E40" s="199" t="s">
        <v>66</v>
      </c>
      <c r="F40" s="199" t="s">
        <v>91</v>
      </c>
      <c r="G40" s="200">
        <v>5110039.09</v>
      </c>
      <c r="H40" s="198"/>
    </row>
    <row r="41" spans="1:9" s="187" customFormat="1" x14ac:dyDescent="0.2">
      <c r="A41" s="196" t="s">
        <v>65</v>
      </c>
      <c r="B41" s="197">
        <v>45726</v>
      </c>
      <c r="C41" s="221" t="s">
        <v>388</v>
      </c>
      <c r="D41" s="198" t="s">
        <v>249</v>
      </c>
      <c r="E41" s="199" t="s">
        <v>66</v>
      </c>
      <c r="F41" s="199" t="s">
        <v>87</v>
      </c>
      <c r="G41" s="200">
        <v>333.78</v>
      </c>
      <c r="H41" s="198"/>
    </row>
    <row r="42" spans="1:9" s="187" customFormat="1" x14ac:dyDescent="0.2">
      <c r="A42" s="196" t="s">
        <v>65</v>
      </c>
      <c r="B42" s="197">
        <v>45726</v>
      </c>
      <c r="C42" s="221" t="s">
        <v>388</v>
      </c>
      <c r="D42" s="198" t="s">
        <v>341</v>
      </c>
      <c r="E42" s="199" t="s">
        <v>66</v>
      </c>
      <c r="F42" s="199" t="s">
        <v>91</v>
      </c>
      <c r="G42" s="200">
        <v>2761697.75</v>
      </c>
      <c r="H42" s="198"/>
    </row>
    <row r="43" spans="1:9" s="187" customFormat="1" x14ac:dyDescent="0.2">
      <c r="A43" s="196" t="s">
        <v>65</v>
      </c>
      <c r="B43" s="197">
        <v>45726</v>
      </c>
      <c r="C43" s="221" t="s">
        <v>388</v>
      </c>
      <c r="D43" s="198" t="s">
        <v>343</v>
      </c>
      <c r="E43" s="199" t="s">
        <v>66</v>
      </c>
      <c r="F43" s="199" t="s">
        <v>91</v>
      </c>
      <c r="G43" s="200">
        <v>2705928.8</v>
      </c>
      <c r="H43" s="198"/>
    </row>
    <row r="44" spans="1:9" s="187" customFormat="1" x14ac:dyDescent="0.2">
      <c r="A44" s="196" t="s">
        <v>65</v>
      </c>
      <c r="B44" s="197">
        <v>45726</v>
      </c>
      <c r="C44" s="221" t="s">
        <v>388</v>
      </c>
      <c r="D44" s="198" t="s">
        <v>353</v>
      </c>
      <c r="E44" s="199" t="s">
        <v>66</v>
      </c>
      <c r="F44" s="199" t="s">
        <v>91</v>
      </c>
      <c r="G44" s="200">
        <v>602213.03</v>
      </c>
      <c r="H44" s="198"/>
    </row>
    <row r="45" spans="1:9" s="187" customFormat="1" x14ac:dyDescent="0.2">
      <c r="A45" s="196" t="s">
        <v>65</v>
      </c>
      <c r="B45" s="197">
        <v>45726</v>
      </c>
      <c r="C45" s="221" t="s">
        <v>388</v>
      </c>
      <c r="D45" s="198" t="s">
        <v>371</v>
      </c>
      <c r="E45" s="199" t="s">
        <v>66</v>
      </c>
      <c r="F45" s="199" t="s">
        <v>91</v>
      </c>
      <c r="G45" s="200">
        <v>1801897.26</v>
      </c>
      <c r="H45" s="198"/>
    </row>
    <row r="47" spans="1:9" s="195" customFormat="1" x14ac:dyDescent="0.2">
      <c r="A47" s="190" t="s">
        <v>59</v>
      </c>
      <c r="B47" s="190" t="s">
        <v>2</v>
      </c>
      <c r="C47" s="191" t="s">
        <v>60</v>
      </c>
      <c r="D47" s="191" t="s">
        <v>61</v>
      </c>
      <c r="E47" s="192" t="s">
        <v>62</v>
      </c>
      <c r="F47" s="192" t="s">
        <v>63</v>
      </c>
      <c r="G47" s="193">
        <f>SUM(G48:G50)</f>
        <v>73816.17</v>
      </c>
      <c r="H47" s="191" t="s">
        <v>64</v>
      </c>
      <c r="I47" s="194"/>
    </row>
    <row r="48" spans="1:9" s="187" customFormat="1" x14ac:dyDescent="0.2">
      <c r="A48" s="196" t="s">
        <v>65</v>
      </c>
      <c r="B48" s="197">
        <v>45730</v>
      </c>
      <c r="C48" s="221" t="s">
        <v>394</v>
      </c>
      <c r="D48" s="198" t="s">
        <v>321</v>
      </c>
      <c r="E48" s="199" t="s">
        <v>66</v>
      </c>
      <c r="F48" s="201" t="s">
        <v>87</v>
      </c>
      <c r="G48" s="202">
        <v>19479.099999999999</v>
      </c>
      <c r="H48" s="198"/>
      <c r="I48" s="222"/>
    </row>
    <row r="49" spans="1:9" s="187" customFormat="1" x14ac:dyDescent="0.2">
      <c r="A49" s="196" t="s">
        <v>65</v>
      </c>
      <c r="B49" s="197">
        <v>45730</v>
      </c>
      <c r="C49" s="221" t="s">
        <v>394</v>
      </c>
      <c r="D49" s="198" t="s">
        <v>363</v>
      </c>
      <c r="E49" s="199" t="s">
        <v>66</v>
      </c>
      <c r="F49" s="201" t="s">
        <v>91</v>
      </c>
      <c r="G49" s="202">
        <v>49397.34</v>
      </c>
      <c r="H49" s="198"/>
      <c r="I49" s="222"/>
    </row>
    <row r="50" spans="1:9" s="187" customFormat="1" x14ac:dyDescent="0.2">
      <c r="A50" s="196" t="s">
        <v>65</v>
      </c>
      <c r="B50" s="197">
        <v>45730</v>
      </c>
      <c r="C50" s="221" t="s">
        <v>394</v>
      </c>
      <c r="D50" s="198" t="s">
        <v>365</v>
      </c>
      <c r="E50" s="199" t="s">
        <v>66</v>
      </c>
      <c r="F50" s="199" t="s">
        <v>91</v>
      </c>
      <c r="G50" s="200">
        <v>4939.7299999999996</v>
      </c>
      <c r="H50" s="198"/>
    </row>
    <row r="52" spans="1:9" s="195" customFormat="1" x14ac:dyDescent="0.2">
      <c r="A52" s="190" t="s">
        <v>59</v>
      </c>
      <c r="B52" s="190" t="s">
        <v>2</v>
      </c>
      <c r="C52" s="191" t="s">
        <v>60</v>
      </c>
      <c r="D52" s="191" t="s">
        <v>61</v>
      </c>
      <c r="E52" s="192" t="s">
        <v>62</v>
      </c>
      <c r="F52" s="192" t="s">
        <v>63</v>
      </c>
      <c r="G52" s="193">
        <f>SUM(G53:G57)</f>
        <v>320307.98999999993</v>
      </c>
      <c r="H52" s="191" t="s">
        <v>64</v>
      </c>
    </row>
    <row r="53" spans="1:9" s="187" customFormat="1" x14ac:dyDescent="0.2">
      <c r="A53" s="196" t="s">
        <v>65</v>
      </c>
      <c r="B53" s="197">
        <v>45743</v>
      </c>
      <c r="C53" s="221" t="s">
        <v>393</v>
      </c>
      <c r="D53" s="198" t="s">
        <v>500</v>
      </c>
      <c r="E53" s="199" t="s">
        <v>66</v>
      </c>
      <c r="F53" s="223" t="s">
        <v>87</v>
      </c>
      <c r="G53" s="200">
        <v>4199.28</v>
      </c>
      <c r="H53" s="198"/>
    </row>
    <row r="54" spans="1:9" s="187" customFormat="1" x14ac:dyDescent="0.2">
      <c r="A54" s="196" t="s">
        <v>65</v>
      </c>
      <c r="B54" s="197">
        <v>45743</v>
      </c>
      <c r="C54" s="221" t="s">
        <v>393</v>
      </c>
      <c r="D54" s="198" t="s">
        <v>501</v>
      </c>
      <c r="E54" s="199" t="s">
        <v>66</v>
      </c>
      <c r="F54" s="223" t="s">
        <v>87</v>
      </c>
      <c r="G54" s="200">
        <v>84917.23</v>
      </c>
      <c r="H54" s="198"/>
    </row>
    <row r="55" spans="1:9" s="187" customFormat="1" x14ac:dyDescent="0.2">
      <c r="A55" s="196" t="s">
        <v>65</v>
      </c>
      <c r="B55" s="197">
        <v>45743</v>
      </c>
      <c r="C55" s="221" t="s">
        <v>393</v>
      </c>
      <c r="D55" s="198" t="s">
        <v>502</v>
      </c>
      <c r="E55" s="199" t="s">
        <v>66</v>
      </c>
      <c r="F55" s="223" t="s">
        <v>87</v>
      </c>
      <c r="G55" s="200">
        <v>107683.65</v>
      </c>
      <c r="H55" s="198"/>
    </row>
    <row r="56" spans="1:9" s="187" customFormat="1" x14ac:dyDescent="0.2">
      <c r="A56" s="196" t="s">
        <v>65</v>
      </c>
      <c r="B56" s="197">
        <v>45743</v>
      </c>
      <c r="C56" s="221" t="s">
        <v>393</v>
      </c>
      <c r="D56" s="198" t="s">
        <v>503</v>
      </c>
      <c r="E56" s="199" t="s">
        <v>66</v>
      </c>
      <c r="F56" s="223" t="s">
        <v>87</v>
      </c>
      <c r="G56" s="200">
        <v>72817.41</v>
      </c>
      <c r="H56" s="198"/>
    </row>
    <row r="57" spans="1:9" s="187" customFormat="1" x14ac:dyDescent="0.2">
      <c r="A57" s="196" t="s">
        <v>65</v>
      </c>
      <c r="B57" s="197">
        <v>45743</v>
      </c>
      <c r="C57" s="221" t="s">
        <v>393</v>
      </c>
      <c r="D57" s="198" t="s">
        <v>504</v>
      </c>
      <c r="E57" s="199" t="s">
        <v>66</v>
      </c>
      <c r="F57" s="223" t="s">
        <v>87</v>
      </c>
      <c r="G57" s="200">
        <v>50690.42</v>
      </c>
      <c r="H57" s="198"/>
    </row>
    <row r="59" spans="1:9" s="195" customFormat="1" x14ac:dyDescent="0.2">
      <c r="A59" s="190" t="s">
        <v>59</v>
      </c>
      <c r="B59" s="190" t="s">
        <v>2</v>
      </c>
      <c r="C59" s="191" t="s">
        <v>60</v>
      </c>
      <c r="D59" s="191" t="s">
        <v>61</v>
      </c>
      <c r="E59" s="192" t="s">
        <v>62</v>
      </c>
      <c r="F59" s="192" t="s">
        <v>63</v>
      </c>
      <c r="G59" s="193">
        <f>SUM(G60:G70)</f>
        <v>460041.44</v>
      </c>
      <c r="H59" s="191" t="s">
        <v>64</v>
      </c>
      <c r="I59" s="194"/>
    </row>
    <row r="60" spans="1:9" s="187" customFormat="1" x14ac:dyDescent="0.2">
      <c r="A60" s="196" t="s">
        <v>65</v>
      </c>
      <c r="B60" s="197">
        <v>45750</v>
      </c>
      <c r="C60" s="198" t="s">
        <v>505</v>
      </c>
      <c r="D60" s="198" t="s">
        <v>506</v>
      </c>
      <c r="E60" s="199" t="s">
        <v>66</v>
      </c>
      <c r="F60" s="199" t="s">
        <v>67</v>
      </c>
      <c r="G60" s="200">
        <v>19.579999999999998</v>
      </c>
      <c r="H60" s="198"/>
    </row>
    <row r="61" spans="1:9" s="187" customFormat="1" x14ac:dyDescent="0.2">
      <c r="A61" s="196" t="s">
        <v>65</v>
      </c>
      <c r="B61" s="197">
        <v>45750</v>
      </c>
      <c r="C61" s="198" t="s">
        <v>505</v>
      </c>
      <c r="D61" s="198" t="s">
        <v>507</v>
      </c>
      <c r="E61" s="199" t="s">
        <v>66</v>
      </c>
      <c r="F61" s="199" t="s">
        <v>68</v>
      </c>
      <c r="G61" s="200">
        <v>176</v>
      </c>
      <c r="H61" s="198"/>
    </row>
    <row r="62" spans="1:9" s="187" customFormat="1" x14ac:dyDescent="0.2">
      <c r="A62" s="196" t="s">
        <v>65</v>
      </c>
      <c r="B62" s="197">
        <v>45750</v>
      </c>
      <c r="C62" s="198" t="s">
        <v>505</v>
      </c>
      <c r="D62" s="198" t="s">
        <v>508</v>
      </c>
      <c r="E62" s="199" t="s">
        <v>66</v>
      </c>
      <c r="F62" s="199" t="s">
        <v>69</v>
      </c>
      <c r="G62" s="200">
        <v>88</v>
      </c>
      <c r="H62" s="198"/>
    </row>
    <row r="63" spans="1:9" s="187" customFormat="1" x14ac:dyDescent="0.2">
      <c r="A63" s="196" t="s">
        <v>65</v>
      </c>
      <c r="B63" s="197">
        <v>45750</v>
      </c>
      <c r="C63" s="198" t="s">
        <v>505</v>
      </c>
      <c r="D63" s="198" t="s">
        <v>509</v>
      </c>
      <c r="E63" s="199" t="s">
        <v>66</v>
      </c>
      <c r="F63" s="199" t="s">
        <v>70</v>
      </c>
      <c r="G63" s="200">
        <v>20498.900000000001</v>
      </c>
      <c r="H63" s="198"/>
    </row>
    <row r="64" spans="1:9" s="187" customFormat="1" x14ac:dyDescent="0.2">
      <c r="A64" s="196" t="s">
        <v>65</v>
      </c>
      <c r="B64" s="197">
        <v>45750</v>
      </c>
      <c r="C64" s="198" t="s">
        <v>505</v>
      </c>
      <c r="D64" s="198" t="s">
        <v>510</v>
      </c>
      <c r="E64" s="199" t="s">
        <v>66</v>
      </c>
      <c r="F64" s="199" t="s">
        <v>71</v>
      </c>
      <c r="G64" s="200">
        <v>229</v>
      </c>
      <c r="H64" s="198"/>
    </row>
    <row r="65" spans="1:9" s="187" customFormat="1" x14ac:dyDescent="0.2">
      <c r="A65" s="196" t="s">
        <v>65</v>
      </c>
      <c r="B65" s="197">
        <v>45750</v>
      </c>
      <c r="C65" s="198" t="s">
        <v>505</v>
      </c>
      <c r="D65" s="198" t="s">
        <v>511</v>
      </c>
      <c r="E65" s="199" t="s">
        <v>66</v>
      </c>
      <c r="F65" s="199" t="s">
        <v>72</v>
      </c>
      <c r="G65" s="200">
        <v>180</v>
      </c>
      <c r="H65" s="198"/>
    </row>
    <row r="66" spans="1:9" s="187" customFormat="1" x14ac:dyDescent="0.2">
      <c r="A66" s="196" t="s">
        <v>65</v>
      </c>
      <c r="B66" s="197">
        <v>45750</v>
      </c>
      <c r="C66" s="198" t="s">
        <v>505</v>
      </c>
      <c r="D66" s="198" t="s">
        <v>512</v>
      </c>
      <c r="E66" s="199" t="s">
        <v>66</v>
      </c>
      <c r="F66" s="199" t="s">
        <v>73</v>
      </c>
      <c r="G66" s="200">
        <v>9698.14</v>
      </c>
      <c r="H66" s="198"/>
    </row>
    <row r="67" spans="1:9" s="187" customFormat="1" x14ac:dyDescent="0.2">
      <c r="A67" s="196" t="s">
        <v>65</v>
      </c>
      <c r="B67" s="197">
        <v>45750</v>
      </c>
      <c r="C67" s="198" t="s">
        <v>505</v>
      </c>
      <c r="D67" s="198" t="s">
        <v>513</v>
      </c>
      <c r="E67" s="199" t="s">
        <v>66</v>
      </c>
      <c r="F67" s="199" t="s">
        <v>88</v>
      </c>
      <c r="G67" s="200">
        <v>1763.47</v>
      </c>
      <c r="H67" s="198"/>
    </row>
    <row r="68" spans="1:9" s="187" customFormat="1" x14ac:dyDescent="0.2">
      <c r="A68" s="196" t="s">
        <v>65</v>
      </c>
      <c r="B68" s="197">
        <v>45750</v>
      </c>
      <c r="C68" s="198" t="s">
        <v>505</v>
      </c>
      <c r="D68" s="198" t="s">
        <v>514</v>
      </c>
      <c r="E68" s="199" t="s">
        <v>66</v>
      </c>
      <c r="F68" s="199" t="s">
        <v>75</v>
      </c>
      <c r="G68" s="200">
        <v>46332.19</v>
      </c>
      <c r="H68" s="198"/>
    </row>
    <row r="69" spans="1:9" s="187" customFormat="1" x14ac:dyDescent="0.2">
      <c r="A69" s="196" t="s">
        <v>65</v>
      </c>
      <c r="B69" s="197">
        <v>45750</v>
      </c>
      <c r="C69" s="198" t="s">
        <v>505</v>
      </c>
      <c r="D69" s="198" t="s">
        <v>515</v>
      </c>
      <c r="E69" s="199" t="s">
        <v>66</v>
      </c>
      <c r="F69" s="199" t="s">
        <v>76</v>
      </c>
      <c r="G69" s="200">
        <v>302.39</v>
      </c>
      <c r="H69" s="198"/>
    </row>
    <row r="70" spans="1:9" s="187" customFormat="1" x14ac:dyDescent="0.2">
      <c r="A70" s="196" t="s">
        <v>65</v>
      </c>
      <c r="B70" s="197">
        <v>45750</v>
      </c>
      <c r="C70" s="198" t="s">
        <v>505</v>
      </c>
      <c r="D70" s="198" t="s">
        <v>516</v>
      </c>
      <c r="E70" s="199" t="s">
        <v>66</v>
      </c>
      <c r="F70" s="199" t="s">
        <v>77</v>
      </c>
      <c r="G70" s="200">
        <v>380753.77</v>
      </c>
      <c r="H70" s="198"/>
    </row>
    <row r="72" spans="1:9" s="195" customFormat="1" x14ac:dyDescent="0.2">
      <c r="A72" s="190" t="s">
        <v>59</v>
      </c>
      <c r="B72" s="190" t="s">
        <v>2</v>
      </c>
      <c r="C72" s="191" t="s">
        <v>60</v>
      </c>
      <c r="D72" s="191" t="s">
        <v>61</v>
      </c>
      <c r="E72" s="192" t="s">
        <v>62</v>
      </c>
      <c r="F72" s="192" t="s">
        <v>63</v>
      </c>
      <c r="G72" s="193">
        <f>SUM(G73:G97)</f>
        <v>31900062.160000004</v>
      </c>
      <c r="H72" s="191" t="s">
        <v>64</v>
      </c>
      <c r="I72" s="194"/>
    </row>
    <row r="73" spans="1:9" s="187" customFormat="1" x14ac:dyDescent="0.2">
      <c r="A73" s="196" t="s">
        <v>65</v>
      </c>
      <c r="B73" s="197">
        <v>45751</v>
      </c>
      <c r="C73" s="198" t="s">
        <v>518</v>
      </c>
      <c r="D73" s="198" t="s">
        <v>519</v>
      </c>
      <c r="E73" s="199" t="s">
        <v>66</v>
      </c>
      <c r="F73" s="199" t="s">
        <v>78</v>
      </c>
      <c r="G73" s="200">
        <v>745</v>
      </c>
      <c r="H73" s="198"/>
    </row>
    <row r="74" spans="1:9" s="187" customFormat="1" x14ac:dyDescent="0.2">
      <c r="A74" s="196" t="s">
        <v>65</v>
      </c>
      <c r="B74" s="197">
        <v>45751</v>
      </c>
      <c r="C74" s="198" t="s">
        <v>518</v>
      </c>
      <c r="D74" s="198" t="s">
        <v>520</v>
      </c>
      <c r="E74" s="199" t="s">
        <v>66</v>
      </c>
      <c r="F74" s="199" t="s">
        <v>79</v>
      </c>
      <c r="G74" s="200">
        <v>84</v>
      </c>
      <c r="H74" s="198"/>
    </row>
    <row r="75" spans="1:9" s="187" customFormat="1" x14ac:dyDescent="0.2">
      <c r="A75" s="196" t="s">
        <v>65</v>
      </c>
      <c r="B75" s="197">
        <v>45751</v>
      </c>
      <c r="C75" s="198" t="s">
        <v>518</v>
      </c>
      <c r="D75" s="198" t="s">
        <v>521</v>
      </c>
      <c r="E75" s="199" t="s">
        <v>66</v>
      </c>
      <c r="F75" s="199" t="s">
        <v>80</v>
      </c>
      <c r="G75" s="200">
        <v>8637925.8800000008</v>
      </c>
      <c r="H75" s="198"/>
    </row>
    <row r="76" spans="1:9" s="187" customFormat="1" x14ac:dyDescent="0.2">
      <c r="A76" s="196" t="s">
        <v>65</v>
      </c>
      <c r="B76" s="197">
        <v>45751</v>
      </c>
      <c r="C76" s="198" t="s">
        <v>518</v>
      </c>
      <c r="D76" s="198" t="s">
        <v>522</v>
      </c>
      <c r="E76" s="199" t="s">
        <v>66</v>
      </c>
      <c r="F76" s="199" t="s">
        <v>81</v>
      </c>
      <c r="G76" s="200">
        <v>4279.24</v>
      </c>
      <c r="H76" s="198"/>
    </row>
    <row r="77" spans="1:9" s="187" customFormat="1" x14ac:dyDescent="0.2">
      <c r="A77" s="196" t="s">
        <v>65</v>
      </c>
      <c r="B77" s="197">
        <v>45751</v>
      </c>
      <c r="C77" s="198" t="s">
        <v>518</v>
      </c>
      <c r="D77" s="198" t="s">
        <v>523</v>
      </c>
      <c r="E77" s="199" t="s">
        <v>66</v>
      </c>
      <c r="F77" s="199" t="s">
        <v>87</v>
      </c>
      <c r="G77" s="200">
        <v>3446798.12</v>
      </c>
      <c r="H77" s="198"/>
    </row>
    <row r="78" spans="1:9" s="187" customFormat="1" x14ac:dyDescent="0.2">
      <c r="A78" s="196" t="s">
        <v>65</v>
      </c>
      <c r="B78" s="197">
        <v>45751</v>
      </c>
      <c r="C78" s="198" t="s">
        <v>518</v>
      </c>
      <c r="D78" s="198" t="s">
        <v>524</v>
      </c>
      <c r="E78" s="199" t="s">
        <v>66</v>
      </c>
      <c r="F78" s="199" t="s">
        <v>497</v>
      </c>
      <c r="G78" s="200">
        <v>100.68</v>
      </c>
      <c r="H78" s="198"/>
    </row>
    <row r="79" spans="1:9" s="187" customFormat="1" x14ac:dyDescent="0.2">
      <c r="A79" s="196" t="s">
        <v>65</v>
      </c>
      <c r="B79" s="197">
        <v>45751</v>
      </c>
      <c r="C79" s="198" t="s">
        <v>518</v>
      </c>
      <c r="D79" s="198" t="s">
        <v>525</v>
      </c>
      <c r="E79" s="199" t="s">
        <v>66</v>
      </c>
      <c r="F79" s="199" t="s">
        <v>82</v>
      </c>
      <c r="G79" s="200">
        <v>3124546.19</v>
      </c>
      <c r="H79" s="198"/>
    </row>
    <row r="80" spans="1:9" s="187" customFormat="1" x14ac:dyDescent="0.2">
      <c r="A80" s="196" t="s">
        <v>65</v>
      </c>
      <c r="B80" s="197">
        <v>45751</v>
      </c>
      <c r="C80" s="198" t="s">
        <v>518</v>
      </c>
      <c r="D80" s="198" t="s">
        <v>526</v>
      </c>
      <c r="E80" s="199" t="s">
        <v>66</v>
      </c>
      <c r="F80" s="199" t="s">
        <v>74</v>
      </c>
      <c r="G80" s="200">
        <v>346334.25</v>
      </c>
      <c r="H80" s="198"/>
    </row>
    <row r="81" spans="1:8" s="187" customFormat="1" x14ac:dyDescent="0.2">
      <c r="A81" s="196" t="s">
        <v>65</v>
      </c>
      <c r="B81" s="197">
        <v>45751</v>
      </c>
      <c r="C81" s="198" t="s">
        <v>518</v>
      </c>
      <c r="D81" s="198" t="s">
        <v>527</v>
      </c>
      <c r="E81" s="199" t="s">
        <v>66</v>
      </c>
      <c r="F81" s="199" t="s">
        <v>74</v>
      </c>
      <c r="G81" s="200">
        <v>358377.14</v>
      </c>
      <c r="H81" s="198"/>
    </row>
    <row r="82" spans="1:8" s="187" customFormat="1" x14ac:dyDescent="0.2">
      <c r="A82" s="196" t="s">
        <v>65</v>
      </c>
      <c r="B82" s="197">
        <v>45751</v>
      </c>
      <c r="C82" s="198" t="s">
        <v>518</v>
      </c>
      <c r="D82" s="198" t="s">
        <v>528</v>
      </c>
      <c r="E82" s="199" t="s">
        <v>66</v>
      </c>
      <c r="F82" s="199" t="s">
        <v>83</v>
      </c>
      <c r="G82" s="200">
        <v>135238</v>
      </c>
      <c r="H82" s="198"/>
    </row>
    <row r="83" spans="1:8" s="187" customFormat="1" x14ac:dyDescent="0.2">
      <c r="A83" s="196" t="s">
        <v>65</v>
      </c>
      <c r="B83" s="197">
        <v>45751</v>
      </c>
      <c r="C83" s="198" t="s">
        <v>518</v>
      </c>
      <c r="D83" s="198" t="s">
        <v>529</v>
      </c>
      <c r="E83" s="199" t="s">
        <v>66</v>
      </c>
      <c r="F83" s="199" t="s">
        <v>83</v>
      </c>
      <c r="G83" s="200">
        <v>2202.94</v>
      </c>
      <c r="H83" s="198"/>
    </row>
    <row r="84" spans="1:8" s="187" customFormat="1" x14ac:dyDescent="0.2">
      <c r="A84" s="212" t="s">
        <v>65</v>
      </c>
      <c r="B84" s="213">
        <v>45751</v>
      </c>
      <c r="C84" s="207" t="s">
        <v>518</v>
      </c>
      <c r="D84" s="207" t="s">
        <v>530</v>
      </c>
      <c r="E84" s="214" t="s">
        <v>66</v>
      </c>
      <c r="F84" s="214" t="s">
        <v>89</v>
      </c>
      <c r="G84" s="215">
        <v>103.93</v>
      </c>
      <c r="H84" s="216" t="s">
        <v>544</v>
      </c>
    </row>
    <row r="85" spans="1:8" s="187" customFormat="1" x14ac:dyDescent="0.2">
      <c r="A85" s="196" t="s">
        <v>65</v>
      </c>
      <c r="B85" s="197">
        <v>45751</v>
      </c>
      <c r="C85" s="198" t="s">
        <v>518</v>
      </c>
      <c r="D85" s="198" t="s">
        <v>531</v>
      </c>
      <c r="E85" s="199" t="s">
        <v>66</v>
      </c>
      <c r="F85" s="199" t="s">
        <v>84</v>
      </c>
      <c r="G85" s="200">
        <v>181029.17</v>
      </c>
      <c r="H85" s="198"/>
    </row>
    <row r="86" spans="1:8" s="187" customFormat="1" x14ac:dyDescent="0.2">
      <c r="A86" s="196" t="s">
        <v>65</v>
      </c>
      <c r="B86" s="197">
        <v>45751</v>
      </c>
      <c r="C86" s="198" t="s">
        <v>518</v>
      </c>
      <c r="D86" s="198" t="s">
        <v>532</v>
      </c>
      <c r="E86" s="199" t="s">
        <v>66</v>
      </c>
      <c r="F86" s="199" t="s">
        <v>93</v>
      </c>
      <c r="G86" s="200">
        <v>13.09</v>
      </c>
      <c r="H86" s="198"/>
    </row>
    <row r="87" spans="1:8" s="187" customFormat="1" x14ac:dyDescent="0.2">
      <c r="A87" s="196" t="s">
        <v>65</v>
      </c>
      <c r="B87" s="197">
        <v>45751</v>
      </c>
      <c r="C87" s="198" t="s">
        <v>518</v>
      </c>
      <c r="D87" s="198" t="s">
        <v>533</v>
      </c>
      <c r="E87" s="201" t="s">
        <v>66</v>
      </c>
      <c r="F87" s="201" t="s">
        <v>94</v>
      </c>
      <c r="G87" s="202">
        <v>478.49</v>
      </c>
      <c r="H87" s="198"/>
    </row>
    <row r="88" spans="1:8" s="187" customFormat="1" x14ac:dyDescent="0.2">
      <c r="A88" s="196" t="s">
        <v>65</v>
      </c>
      <c r="B88" s="197">
        <v>45751</v>
      </c>
      <c r="C88" s="198" t="s">
        <v>518</v>
      </c>
      <c r="D88" s="198" t="s">
        <v>534</v>
      </c>
      <c r="E88" s="199" t="s">
        <v>66</v>
      </c>
      <c r="F88" s="199" t="s">
        <v>85</v>
      </c>
      <c r="G88" s="200">
        <v>320.23</v>
      </c>
      <c r="H88" s="198"/>
    </row>
    <row r="89" spans="1:8" s="187" customFormat="1" x14ac:dyDescent="0.2">
      <c r="A89" s="196" t="s">
        <v>65</v>
      </c>
      <c r="B89" s="197">
        <v>45751</v>
      </c>
      <c r="C89" s="198" t="s">
        <v>518</v>
      </c>
      <c r="D89" s="198" t="s">
        <v>535</v>
      </c>
      <c r="E89" s="199" t="s">
        <v>66</v>
      </c>
      <c r="F89" s="199" t="s">
        <v>90</v>
      </c>
      <c r="G89" s="200">
        <v>85378.5</v>
      </c>
      <c r="H89" s="198"/>
    </row>
    <row r="90" spans="1:8" s="187" customFormat="1" x14ac:dyDescent="0.2">
      <c r="A90" s="203" t="s">
        <v>65</v>
      </c>
      <c r="B90" s="197">
        <v>45751</v>
      </c>
      <c r="C90" s="198" t="s">
        <v>518</v>
      </c>
      <c r="D90" s="204" t="s">
        <v>536</v>
      </c>
      <c r="E90" s="199" t="s">
        <v>66</v>
      </c>
      <c r="F90" s="205" t="s">
        <v>86</v>
      </c>
      <c r="G90" s="206">
        <v>470.99</v>
      </c>
      <c r="H90" s="207"/>
    </row>
    <row r="91" spans="1:8" s="209" customFormat="1" x14ac:dyDescent="0.2">
      <c r="A91" s="196" t="s">
        <v>65</v>
      </c>
      <c r="B91" s="197">
        <v>45751</v>
      </c>
      <c r="C91" s="198" t="s">
        <v>518</v>
      </c>
      <c r="D91" s="198" t="s">
        <v>537</v>
      </c>
      <c r="E91" s="199" t="s">
        <v>66</v>
      </c>
      <c r="F91" s="199" t="s">
        <v>87</v>
      </c>
      <c r="G91" s="200">
        <v>2414.3000000000002</v>
      </c>
      <c r="H91" s="208"/>
    </row>
    <row r="92" spans="1:8" s="211" customFormat="1" x14ac:dyDescent="0.2">
      <c r="A92" s="196" t="s">
        <v>65</v>
      </c>
      <c r="B92" s="197">
        <v>45751</v>
      </c>
      <c r="C92" s="198" t="s">
        <v>518</v>
      </c>
      <c r="D92" s="198" t="s">
        <v>538</v>
      </c>
      <c r="E92" s="199" t="s">
        <v>66</v>
      </c>
      <c r="F92" s="199" t="s">
        <v>91</v>
      </c>
      <c r="G92" s="200">
        <v>2706694.39</v>
      </c>
      <c r="H92" s="210"/>
    </row>
    <row r="93" spans="1:8" s="187" customFormat="1" x14ac:dyDescent="0.2">
      <c r="A93" s="196" t="s">
        <v>65</v>
      </c>
      <c r="B93" s="197">
        <v>45751</v>
      </c>
      <c r="C93" s="198" t="s">
        <v>518</v>
      </c>
      <c r="D93" s="198" t="s">
        <v>539</v>
      </c>
      <c r="E93" s="199" t="s">
        <v>66</v>
      </c>
      <c r="F93" s="199" t="s">
        <v>91</v>
      </c>
      <c r="G93" s="200">
        <v>5079916.62</v>
      </c>
      <c r="H93" s="216"/>
    </row>
    <row r="94" spans="1:8" s="187" customFormat="1" x14ac:dyDescent="0.2">
      <c r="A94" s="196" t="s">
        <v>65</v>
      </c>
      <c r="B94" s="197">
        <v>45751</v>
      </c>
      <c r="C94" s="198" t="s">
        <v>518</v>
      </c>
      <c r="D94" s="198" t="s">
        <v>540</v>
      </c>
      <c r="E94" s="199" t="s">
        <v>66</v>
      </c>
      <c r="F94" s="199" t="s">
        <v>91</v>
      </c>
      <c r="G94" s="200">
        <v>2706694.39</v>
      </c>
      <c r="H94" s="198"/>
    </row>
    <row r="95" spans="1:8" s="187" customFormat="1" x14ac:dyDescent="0.2">
      <c r="A95" s="196" t="s">
        <v>65</v>
      </c>
      <c r="B95" s="197">
        <v>45751</v>
      </c>
      <c r="C95" s="198" t="s">
        <v>518</v>
      </c>
      <c r="D95" s="198" t="s">
        <v>541</v>
      </c>
      <c r="E95" s="199" t="s">
        <v>66</v>
      </c>
      <c r="F95" s="199" t="s">
        <v>91</v>
      </c>
      <c r="G95" s="200">
        <v>2701804.65</v>
      </c>
      <c r="H95" s="198"/>
    </row>
    <row r="96" spans="1:8" s="187" customFormat="1" x14ac:dyDescent="0.2">
      <c r="A96" s="196" t="s">
        <v>65</v>
      </c>
      <c r="B96" s="197">
        <v>45751</v>
      </c>
      <c r="C96" s="198" t="s">
        <v>518</v>
      </c>
      <c r="D96" s="198" t="s">
        <v>542</v>
      </c>
      <c r="E96" s="199" t="s">
        <v>66</v>
      </c>
      <c r="F96" s="199" t="s">
        <v>91</v>
      </c>
      <c r="G96" s="200">
        <v>595700.62</v>
      </c>
      <c r="H96" s="217"/>
    </row>
    <row r="97" spans="1:9" s="187" customFormat="1" x14ac:dyDescent="0.2">
      <c r="A97" s="196" t="s">
        <v>65</v>
      </c>
      <c r="B97" s="197">
        <v>45751</v>
      </c>
      <c r="C97" s="198" t="s">
        <v>518</v>
      </c>
      <c r="D97" s="218" t="s">
        <v>543</v>
      </c>
      <c r="E97" s="199" t="s">
        <v>66</v>
      </c>
      <c r="F97" s="201" t="s">
        <v>91</v>
      </c>
      <c r="G97" s="202">
        <v>1782411.35</v>
      </c>
      <c r="H97" s="219"/>
      <c r="I97" s="220"/>
    </row>
    <row r="99" spans="1:9" s="195" customFormat="1" x14ac:dyDescent="0.2">
      <c r="A99" s="190" t="s">
        <v>59</v>
      </c>
      <c r="B99" s="190" t="s">
        <v>2</v>
      </c>
      <c r="C99" s="191" t="s">
        <v>60</v>
      </c>
      <c r="D99" s="191" t="s">
        <v>61</v>
      </c>
      <c r="E99" s="192" t="s">
        <v>62</v>
      </c>
      <c r="F99" s="192" t="s">
        <v>63</v>
      </c>
      <c r="G99" s="193">
        <f>SUM(G100:G101)</f>
        <v>7641042.0299999993</v>
      </c>
      <c r="H99" s="191" t="s">
        <v>64</v>
      </c>
      <c r="I99" s="194"/>
    </row>
    <row r="100" spans="1:9" s="187" customFormat="1" x14ac:dyDescent="0.2">
      <c r="A100" s="196" t="s">
        <v>65</v>
      </c>
      <c r="B100" s="197">
        <v>45751</v>
      </c>
      <c r="C100" s="198" t="s">
        <v>545</v>
      </c>
      <c r="D100" s="198" t="s">
        <v>546</v>
      </c>
      <c r="E100" s="199" t="s">
        <v>66</v>
      </c>
      <c r="F100" s="201" t="s">
        <v>548</v>
      </c>
      <c r="G100" s="202">
        <v>25119.06</v>
      </c>
      <c r="H100" s="198"/>
      <c r="I100" s="222"/>
    </row>
    <row r="101" spans="1:9" s="187" customFormat="1" x14ac:dyDescent="0.2">
      <c r="A101" s="196" t="s">
        <v>65</v>
      </c>
      <c r="B101" s="197">
        <v>45751</v>
      </c>
      <c r="C101" s="198" t="s">
        <v>545</v>
      </c>
      <c r="D101" s="198" t="s">
        <v>547</v>
      </c>
      <c r="E101" s="199" t="s">
        <v>66</v>
      </c>
      <c r="F101" s="199" t="s">
        <v>87</v>
      </c>
      <c r="G101" s="200">
        <v>7615922.9699999997</v>
      </c>
      <c r="H101" s="198"/>
    </row>
    <row r="103" spans="1:9" s="195" customFormat="1" x14ac:dyDescent="0.2">
      <c r="A103" s="190" t="s">
        <v>59</v>
      </c>
      <c r="B103" s="190" t="s">
        <v>2</v>
      </c>
      <c r="C103" s="191" t="s">
        <v>60</v>
      </c>
      <c r="D103" s="191" t="s">
        <v>61</v>
      </c>
      <c r="E103" s="192" t="s">
        <v>62</v>
      </c>
      <c r="F103" s="192" t="s">
        <v>63</v>
      </c>
      <c r="G103" s="193">
        <f>SUM(G104:G108)</f>
        <v>331945.20999999996</v>
      </c>
      <c r="H103" s="191" t="s">
        <v>64</v>
      </c>
    </row>
    <row r="104" spans="1:9" s="187" customFormat="1" x14ac:dyDescent="0.2">
      <c r="A104" s="196" t="s">
        <v>65</v>
      </c>
      <c r="B104" s="197">
        <v>45776</v>
      </c>
      <c r="C104" s="221" t="s">
        <v>549</v>
      </c>
      <c r="D104" s="198" t="s">
        <v>550</v>
      </c>
      <c r="E104" s="199" t="s">
        <v>66</v>
      </c>
      <c r="F104" s="223" t="s">
        <v>87</v>
      </c>
      <c r="G104" s="200">
        <v>4434.92</v>
      </c>
      <c r="H104" s="198"/>
    </row>
    <row r="105" spans="1:9" s="187" customFormat="1" x14ac:dyDescent="0.2">
      <c r="A105" s="196" t="s">
        <v>65</v>
      </c>
      <c r="B105" s="197">
        <v>45776</v>
      </c>
      <c r="C105" s="221" t="s">
        <v>549</v>
      </c>
      <c r="D105" s="198" t="s">
        <v>551</v>
      </c>
      <c r="E105" s="199" t="s">
        <v>66</v>
      </c>
      <c r="F105" s="223" t="s">
        <v>87</v>
      </c>
      <c r="G105" s="200">
        <v>86036.02</v>
      </c>
      <c r="H105" s="198"/>
    </row>
    <row r="106" spans="1:9" s="187" customFormat="1" x14ac:dyDescent="0.2">
      <c r="A106" s="196" t="s">
        <v>65</v>
      </c>
      <c r="B106" s="197">
        <v>45776</v>
      </c>
      <c r="C106" s="221" t="s">
        <v>549</v>
      </c>
      <c r="D106" s="198" t="s">
        <v>552</v>
      </c>
      <c r="E106" s="199" t="s">
        <v>66</v>
      </c>
      <c r="F106" s="223" t="s">
        <v>87</v>
      </c>
      <c r="G106" s="200">
        <v>112401.94</v>
      </c>
      <c r="H106" s="198"/>
    </row>
    <row r="107" spans="1:9" s="187" customFormat="1" x14ac:dyDescent="0.2">
      <c r="A107" s="196" t="s">
        <v>65</v>
      </c>
      <c r="B107" s="197">
        <v>45776</v>
      </c>
      <c r="C107" s="221" t="s">
        <v>549</v>
      </c>
      <c r="D107" s="198" t="s">
        <v>553</v>
      </c>
      <c r="E107" s="199" t="s">
        <v>66</v>
      </c>
      <c r="F107" s="223" t="s">
        <v>87</v>
      </c>
      <c r="G107" s="200">
        <v>76661.3</v>
      </c>
      <c r="H107" s="198"/>
    </row>
    <row r="108" spans="1:9" s="187" customFormat="1" x14ac:dyDescent="0.2">
      <c r="A108" s="196" t="s">
        <v>65</v>
      </c>
      <c r="B108" s="197">
        <v>45776</v>
      </c>
      <c r="C108" s="221" t="s">
        <v>549</v>
      </c>
      <c r="D108" s="198" t="s">
        <v>554</v>
      </c>
      <c r="E108" s="199" t="s">
        <v>66</v>
      </c>
      <c r="F108" s="223" t="s">
        <v>87</v>
      </c>
      <c r="G108" s="200">
        <v>52411.03</v>
      </c>
      <c r="H108" s="198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CC5-8762-4C38-BF4D-7C83CD5F3C8D}">
  <sheetPr filterMode="1"/>
  <dimension ref="A1:G68"/>
  <sheetViews>
    <sheetView workbookViewId="0">
      <selection activeCell="E5" sqref="E5"/>
    </sheetView>
  </sheetViews>
  <sheetFormatPr defaultRowHeight="15" x14ac:dyDescent="0.25"/>
  <cols>
    <col min="1" max="1" width="13" customWidth="1"/>
    <col min="2" max="2" width="30.7109375" customWidth="1"/>
    <col min="3" max="3" width="15.28515625" bestFit="1" customWidth="1"/>
    <col min="4" max="4" width="5" style="2" customWidth="1"/>
    <col min="5" max="5" width="36.28515625" customWidth="1"/>
    <col min="6" max="6" width="20.28515625" style="2" customWidth="1"/>
    <col min="7" max="7" width="20.710937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C2" s="225">
        <f>SUBTOTAL(9,C3:C78)</f>
        <v>135303257.25</v>
      </c>
      <c r="E2" s="14"/>
    </row>
    <row r="3" spans="1:6" x14ac:dyDescent="0.25">
      <c r="A3" s="23" t="s">
        <v>2</v>
      </c>
      <c r="B3" s="23" t="s">
        <v>3</v>
      </c>
      <c r="C3" s="23" t="s">
        <v>4</v>
      </c>
      <c r="D3" s="22" t="s">
        <v>5</v>
      </c>
      <c r="E3" s="23" t="s">
        <v>6</v>
      </c>
      <c r="F3" s="185" t="s">
        <v>517</v>
      </c>
    </row>
    <row r="4" spans="1:6" x14ac:dyDescent="0.25">
      <c r="A4" s="25" t="s">
        <v>376</v>
      </c>
      <c r="B4" s="25" t="s">
        <v>49</v>
      </c>
      <c r="C4" s="26">
        <v>111.18</v>
      </c>
      <c r="D4" s="24" t="s">
        <v>7</v>
      </c>
      <c r="E4" s="25" t="s">
        <v>8</v>
      </c>
    </row>
    <row r="5" spans="1:6" hidden="1" x14ac:dyDescent="0.25">
      <c r="A5" s="9" t="s">
        <v>376</v>
      </c>
      <c r="B5" s="9" t="s">
        <v>50</v>
      </c>
      <c r="C5" s="10">
        <v>4987406.87</v>
      </c>
      <c r="D5" s="8" t="s">
        <v>16</v>
      </c>
      <c r="E5" s="9" t="s">
        <v>66</v>
      </c>
      <c r="F5" s="8" t="s">
        <v>396</v>
      </c>
    </row>
    <row r="6" spans="1:6" hidden="1" x14ac:dyDescent="0.25">
      <c r="A6" s="9" t="s">
        <v>376</v>
      </c>
      <c r="B6" s="9" t="s">
        <v>50</v>
      </c>
      <c r="C6" s="10">
        <v>12139972.630000001</v>
      </c>
      <c r="D6" s="8" t="s">
        <v>16</v>
      </c>
      <c r="E6" s="9" t="s">
        <v>66</v>
      </c>
      <c r="F6" s="8" t="s">
        <v>395</v>
      </c>
    </row>
    <row r="7" spans="1:6" x14ac:dyDescent="0.25">
      <c r="A7" s="16" t="s">
        <v>376</v>
      </c>
      <c r="B7" s="16" t="s">
        <v>20</v>
      </c>
      <c r="C7" s="17">
        <v>17127268.32</v>
      </c>
      <c r="D7" s="15" t="s">
        <v>7</v>
      </c>
      <c r="E7" s="16" t="s">
        <v>20</v>
      </c>
    </row>
    <row r="8" spans="1:6" x14ac:dyDescent="0.25">
      <c r="A8" s="6" t="s">
        <v>377</v>
      </c>
      <c r="B8" s="6" t="s">
        <v>11</v>
      </c>
      <c r="C8" s="7">
        <v>480.27</v>
      </c>
      <c r="D8" s="5" t="s">
        <v>7</v>
      </c>
      <c r="E8" s="6" t="s">
        <v>42</v>
      </c>
    </row>
    <row r="9" spans="1:6" x14ac:dyDescent="0.25">
      <c r="A9" s="6" t="s">
        <v>377</v>
      </c>
      <c r="B9" s="6" t="s">
        <v>13</v>
      </c>
      <c r="C9" s="7">
        <v>970971.61</v>
      </c>
      <c r="D9" s="5" t="s">
        <v>7</v>
      </c>
      <c r="E9" s="6" t="s">
        <v>42</v>
      </c>
    </row>
    <row r="10" spans="1:6" x14ac:dyDescent="0.25">
      <c r="A10" s="6" t="s">
        <v>377</v>
      </c>
      <c r="B10" s="6" t="s">
        <v>13</v>
      </c>
      <c r="C10" s="7">
        <v>2257223.4</v>
      </c>
      <c r="D10" s="5" t="s">
        <v>7</v>
      </c>
      <c r="E10" s="6" t="s">
        <v>42</v>
      </c>
    </row>
    <row r="11" spans="1:6" x14ac:dyDescent="0.25">
      <c r="A11" s="6" t="s">
        <v>377</v>
      </c>
      <c r="B11" s="6" t="s">
        <v>13</v>
      </c>
      <c r="C11" s="7">
        <v>25914802.399999999</v>
      </c>
      <c r="D11" s="5" t="s">
        <v>7</v>
      </c>
      <c r="E11" s="6" t="s">
        <v>42</v>
      </c>
    </row>
    <row r="12" spans="1:6" x14ac:dyDescent="0.25">
      <c r="A12" s="6" t="s">
        <v>377</v>
      </c>
      <c r="B12" s="6" t="s">
        <v>13</v>
      </c>
      <c r="C12" s="7">
        <v>11423.16</v>
      </c>
      <c r="D12" s="5" t="s">
        <v>7</v>
      </c>
      <c r="E12" s="6" t="s">
        <v>42</v>
      </c>
    </row>
    <row r="13" spans="1:6" x14ac:dyDescent="0.25">
      <c r="A13" s="11" t="s">
        <v>377</v>
      </c>
      <c r="B13" s="11" t="s">
        <v>14</v>
      </c>
      <c r="C13" s="13">
        <v>26118.74</v>
      </c>
      <c r="D13" s="12" t="s">
        <v>7</v>
      </c>
      <c r="E13" s="11" t="s">
        <v>43</v>
      </c>
    </row>
    <row r="14" spans="1:6" x14ac:dyDescent="0.25">
      <c r="A14" s="6" t="s">
        <v>377</v>
      </c>
      <c r="B14" s="6" t="s">
        <v>14</v>
      </c>
      <c r="C14" s="7">
        <v>15152.8</v>
      </c>
      <c r="D14" s="5" t="s">
        <v>7</v>
      </c>
      <c r="E14" s="6" t="s">
        <v>42</v>
      </c>
    </row>
    <row r="15" spans="1:6" hidden="1" x14ac:dyDescent="0.25">
      <c r="A15" s="11" t="s">
        <v>377</v>
      </c>
      <c r="B15" s="11" t="s">
        <v>15</v>
      </c>
      <c r="C15" s="13">
        <v>26118.74</v>
      </c>
      <c r="D15" s="12" t="s">
        <v>16</v>
      </c>
      <c r="E15" s="11" t="s">
        <v>43</v>
      </c>
    </row>
    <row r="16" spans="1:6" hidden="1" x14ac:dyDescent="0.25">
      <c r="A16" s="9" t="s">
        <v>377</v>
      </c>
      <c r="B16" s="9" t="s">
        <v>50</v>
      </c>
      <c r="C16" s="10">
        <v>23448005.870000001</v>
      </c>
      <c r="D16" s="8" t="s">
        <v>16</v>
      </c>
      <c r="E16" s="9" t="s">
        <v>66</v>
      </c>
      <c r="F16" s="8" t="s">
        <v>388</v>
      </c>
    </row>
    <row r="17" spans="1:6" hidden="1" x14ac:dyDescent="0.25">
      <c r="A17" s="16" t="s">
        <v>377</v>
      </c>
      <c r="B17" s="16" t="s">
        <v>17</v>
      </c>
      <c r="C17" s="17">
        <v>5722047.7699999996</v>
      </c>
      <c r="D17" s="15" t="s">
        <v>16</v>
      </c>
      <c r="E17" s="16" t="s">
        <v>44</v>
      </c>
    </row>
    <row r="18" spans="1:6" hidden="1" x14ac:dyDescent="0.25">
      <c r="A18" t="s">
        <v>378</v>
      </c>
      <c r="B18" t="s">
        <v>22</v>
      </c>
      <c r="C18" s="1">
        <v>2548.9299999999998</v>
      </c>
      <c r="D18" s="2" t="s">
        <v>16</v>
      </c>
    </row>
    <row r="19" spans="1:6" x14ac:dyDescent="0.25">
      <c r="A19" s="16" t="s">
        <v>378</v>
      </c>
      <c r="B19" s="16" t="s">
        <v>20</v>
      </c>
      <c r="C19" s="17">
        <v>2548.9299999999998</v>
      </c>
      <c r="D19" s="15" t="s">
        <v>7</v>
      </c>
      <c r="E19" s="16" t="s">
        <v>20</v>
      </c>
    </row>
    <row r="20" spans="1:6" hidden="1" x14ac:dyDescent="0.25">
      <c r="A20" s="9" t="s">
        <v>379</v>
      </c>
      <c r="B20" s="9" t="s">
        <v>50</v>
      </c>
      <c r="C20" s="10">
        <v>73816.17</v>
      </c>
      <c r="D20" s="8" t="s">
        <v>16</v>
      </c>
      <c r="E20" s="9" t="s">
        <v>66</v>
      </c>
      <c r="F20" s="8" t="s">
        <v>394</v>
      </c>
    </row>
    <row r="21" spans="1:6" x14ac:dyDescent="0.25">
      <c r="A21" s="16" t="s">
        <v>379</v>
      </c>
      <c r="B21" s="16" t="s">
        <v>20</v>
      </c>
      <c r="C21" s="17">
        <v>73816.17</v>
      </c>
      <c r="D21" s="15" t="s">
        <v>7</v>
      </c>
      <c r="E21" s="16" t="s">
        <v>20</v>
      </c>
    </row>
    <row r="22" spans="1:6" x14ac:dyDescent="0.25">
      <c r="A22" s="6" t="s">
        <v>380</v>
      </c>
      <c r="B22" s="6" t="s">
        <v>10</v>
      </c>
      <c r="C22" s="7">
        <v>513105.27</v>
      </c>
      <c r="D22" s="5" t="s">
        <v>7</v>
      </c>
      <c r="E22" s="6" t="s">
        <v>42</v>
      </c>
    </row>
    <row r="23" spans="1:6" x14ac:dyDescent="0.25">
      <c r="A23" s="6" t="s">
        <v>380</v>
      </c>
      <c r="B23" s="6" t="s">
        <v>10</v>
      </c>
      <c r="C23" s="7">
        <v>347235.51</v>
      </c>
      <c r="D23" s="5" t="s">
        <v>7</v>
      </c>
      <c r="E23" s="6" t="s">
        <v>42</v>
      </c>
    </row>
    <row r="24" spans="1:6" x14ac:dyDescent="0.25">
      <c r="A24" s="6" t="s">
        <v>380</v>
      </c>
      <c r="B24" s="6" t="s">
        <v>12</v>
      </c>
      <c r="C24" s="7">
        <v>2663359.58</v>
      </c>
      <c r="D24" s="5" t="s">
        <v>7</v>
      </c>
      <c r="E24" s="6" t="s">
        <v>42</v>
      </c>
    </row>
    <row r="25" spans="1:6" x14ac:dyDescent="0.25">
      <c r="A25" s="6" t="s">
        <v>380</v>
      </c>
      <c r="B25" s="6" t="s">
        <v>12</v>
      </c>
      <c r="C25" s="7">
        <v>1605970.86</v>
      </c>
      <c r="D25" s="5" t="s">
        <v>7</v>
      </c>
      <c r="E25" s="6" t="s">
        <v>42</v>
      </c>
    </row>
    <row r="26" spans="1:6" hidden="1" x14ac:dyDescent="0.25">
      <c r="A26" s="16" t="s">
        <v>380</v>
      </c>
      <c r="B26" s="16" t="s">
        <v>17</v>
      </c>
      <c r="C26" s="17">
        <v>5129671.22</v>
      </c>
      <c r="D26" s="15" t="s">
        <v>16</v>
      </c>
      <c r="E26" s="16" t="s">
        <v>44</v>
      </c>
    </row>
    <row r="27" spans="1:6" x14ac:dyDescent="0.25">
      <c r="A27" s="6" t="s">
        <v>381</v>
      </c>
      <c r="B27" s="6" t="s">
        <v>11</v>
      </c>
      <c r="C27" s="7">
        <v>49</v>
      </c>
      <c r="D27" s="5" t="s">
        <v>7</v>
      </c>
      <c r="E27" s="6" t="s">
        <v>42</v>
      </c>
    </row>
    <row r="28" spans="1:6" x14ac:dyDescent="0.25">
      <c r="A28" s="6" t="s">
        <v>381</v>
      </c>
      <c r="B28" s="6" t="s">
        <v>13</v>
      </c>
      <c r="C28" s="7">
        <v>208080.3</v>
      </c>
      <c r="D28" s="5" t="s">
        <v>7</v>
      </c>
      <c r="E28" s="6" t="s">
        <v>42</v>
      </c>
    </row>
    <row r="29" spans="1:6" x14ac:dyDescent="0.25">
      <c r="A29" s="6" t="s">
        <v>381</v>
      </c>
      <c r="B29" s="6" t="s">
        <v>13</v>
      </c>
      <c r="C29" s="7">
        <v>483725.54</v>
      </c>
      <c r="D29" s="5" t="s">
        <v>7</v>
      </c>
      <c r="E29" s="6" t="s">
        <v>42</v>
      </c>
    </row>
    <row r="30" spans="1:6" x14ac:dyDescent="0.25">
      <c r="A30" s="6" t="s">
        <v>381</v>
      </c>
      <c r="B30" s="6" t="s">
        <v>13</v>
      </c>
      <c r="C30" s="7">
        <v>5579351.6600000001</v>
      </c>
      <c r="D30" s="5" t="s">
        <v>7</v>
      </c>
      <c r="E30" s="6" t="s">
        <v>42</v>
      </c>
    </row>
    <row r="31" spans="1:6" x14ac:dyDescent="0.25">
      <c r="A31" s="6" t="s">
        <v>381</v>
      </c>
      <c r="B31" s="6" t="s">
        <v>13</v>
      </c>
      <c r="C31" s="7">
        <v>2447.9699999999998</v>
      </c>
      <c r="D31" s="5" t="s">
        <v>7</v>
      </c>
      <c r="E31" s="6" t="s">
        <v>42</v>
      </c>
    </row>
    <row r="32" spans="1:6" x14ac:dyDescent="0.25">
      <c r="A32" s="11" t="s">
        <v>381</v>
      </c>
      <c r="B32" s="11" t="s">
        <v>14</v>
      </c>
      <c r="C32" s="13">
        <v>11434.81</v>
      </c>
      <c r="D32" s="12" t="s">
        <v>7</v>
      </c>
      <c r="E32" s="11" t="s">
        <v>43</v>
      </c>
    </row>
    <row r="33" spans="1:7" x14ac:dyDescent="0.25">
      <c r="A33" s="6" t="s">
        <v>381</v>
      </c>
      <c r="B33" s="6" t="s">
        <v>14</v>
      </c>
      <c r="C33" s="7">
        <v>6633.91</v>
      </c>
      <c r="D33" s="5" t="s">
        <v>7</v>
      </c>
      <c r="E33" s="6" t="s">
        <v>42</v>
      </c>
    </row>
    <row r="34" spans="1:7" hidden="1" x14ac:dyDescent="0.25">
      <c r="A34" s="11" t="s">
        <v>381</v>
      </c>
      <c r="B34" s="11" t="s">
        <v>15</v>
      </c>
      <c r="C34" s="13">
        <v>11434.81</v>
      </c>
      <c r="D34" s="12" t="s">
        <v>16</v>
      </c>
      <c r="E34" s="11" t="s">
        <v>43</v>
      </c>
    </row>
    <row r="35" spans="1:7" hidden="1" x14ac:dyDescent="0.25">
      <c r="A35" s="9" t="s">
        <v>381</v>
      </c>
      <c r="B35" s="9" t="s">
        <v>26</v>
      </c>
      <c r="C35" s="10">
        <v>333.78</v>
      </c>
      <c r="D35" s="8" t="s">
        <v>16</v>
      </c>
      <c r="E35" s="9" t="s">
        <v>27</v>
      </c>
      <c r="F35" s="8" t="s">
        <v>251</v>
      </c>
    </row>
    <row r="36" spans="1:7" hidden="1" x14ac:dyDescent="0.25">
      <c r="A36" s="9" t="s">
        <v>381</v>
      </c>
      <c r="B36" s="9" t="s">
        <v>26</v>
      </c>
      <c r="C36" s="10">
        <v>333.78</v>
      </c>
      <c r="D36" s="8" t="s">
        <v>16</v>
      </c>
      <c r="E36" s="9" t="s">
        <v>27</v>
      </c>
      <c r="F36" s="8" t="s">
        <v>253</v>
      </c>
    </row>
    <row r="37" spans="1:7" hidden="1" x14ac:dyDescent="0.25">
      <c r="A37" s="16" t="s">
        <v>381</v>
      </c>
      <c r="B37" s="16" t="s">
        <v>17</v>
      </c>
      <c r="C37" s="17">
        <v>6279620.8200000003</v>
      </c>
      <c r="D37" s="15" t="s">
        <v>16</v>
      </c>
      <c r="E37" s="16" t="s">
        <v>44</v>
      </c>
    </row>
    <row r="38" spans="1:7" x14ac:dyDescent="0.25">
      <c r="A38" s="6" t="s">
        <v>382</v>
      </c>
      <c r="B38" s="6" t="s">
        <v>10</v>
      </c>
      <c r="C38" s="7">
        <v>1176171.19</v>
      </c>
      <c r="D38" s="5" t="s">
        <v>7</v>
      </c>
      <c r="E38" s="6" t="s">
        <v>42</v>
      </c>
    </row>
    <row r="39" spans="1:7" x14ac:dyDescent="0.25">
      <c r="A39" s="6" t="s">
        <v>382</v>
      </c>
      <c r="B39" s="6" t="s">
        <v>12</v>
      </c>
      <c r="C39" s="7">
        <v>7632815.7400000002</v>
      </c>
      <c r="D39" s="5" t="s">
        <v>7</v>
      </c>
      <c r="E39" s="6" t="s">
        <v>42</v>
      </c>
    </row>
    <row r="40" spans="1:7" hidden="1" x14ac:dyDescent="0.25">
      <c r="A40" s="16" t="s">
        <v>382</v>
      </c>
      <c r="B40" s="16" t="s">
        <v>17</v>
      </c>
      <c r="C40" s="17">
        <v>8808986.9299999997</v>
      </c>
      <c r="D40" s="15" t="s">
        <v>16</v>
      </c>
      <c r="E40" s="16" t="s">
        <v>44</v>
      </c>
    </row>
    <row r="41" spans="1:7" hidden="1" x14ac:dyDescent="0.25">
      <c r="A41" s="9" t="s">
        <v>383</v>
      </c>
      <c r="B41" s="9" t="s">
        <v>26</v>
      </c>
      <c r="C41" s="10">
        <v>333.78</v>
      </c>
      <c r="D41" s="8" t="s">
        <v>16</v>
      </c>
      <c r="E41" s="9" t="s">
        <v>27</v>
      </c>
      <c r="F41" s="8" t="s">
        <v>391</v>
      </c>
      <c r="G41" s="9" t="s">
        <v>390</v>
      </c>
    </row>
    <row r="42" spans="1:7" hidden="1" x14ac:dyDescent="0.25">
      <c r="A42" s="9" t="s">
        <v>383</v>
      </c>
      <c r="B42" s="9" t="s">
        <v>26</v>
      </c>
      <c r="C42" s="10">
        <v>333.78</v>
      </c>
      <c r="D42" s="8" t="s">
        <v>16</v>
      </c>
      <c r="E42" s="9" t="s">
        <v>27</v>
      </c>
      <c r="F42" s="8" t="s">
        <v>392</v>
      </c>
      <c r="G42" s="9" t="s">
        <v>390</v>
      </c>
    </row>
    <row r="43" spans="1:7" x14ac:dyDescent="0.25">
      <c r="A43" s="16" t="s">
        <v>383</v>
      </c>
      <c r="B43" s="16" t="s">
        <v>20</v>
      </c>
      <c r="C43" s="17">
        <v>667.56</v>
      </c>
      <c r="D43" s="15" t="s">
        <v>7</v>
      </c>
      <c r="E43" s="16" t="s">
        <v>20</v>
      </c>
    </row>
    <row r="44" spans="1:7" hidden="1" x14ac:dyDescent="0.25">
      <c r="A44" s="9" t="s">
        <v>384</v>
      </c>
      <c r="B44" s="9" t="s">
        <v>22</v>
      </c>
      <c r="C44" s="10">
        <v>32564763.649999999</v>
      </c>
      <c r="D44" s="8" t="s">
        <v>16</v>
      </c>
      <c r="E44" s="9" t="s">
        <v>397</v>
      </c>
      <c r="F44" s="9" t="s">
        <v>397</v>
      </c>
    </row>
    <row r="45" spans="1:7" hidden="1" x14ac:dyDescent="0.25">
      <c r="A45" s="9" t="s">
        <v>384</v>
      </c>
      <c r="B45" s="9" t="s">
        <v>22</v>
      </c>
      <c r="C45" s="10">
        <v>544599.56000000006</v>
      </c>
      <c r="D45" s="8" t="s">
        <v>16</v>
      </c>
      <c r="E45" s="9" t="s">
        <v>397</v>
      </c>
      <c r="F45" s="9" t="s">
        <v>397</v>
      </c>
    </row>
    <row r="46" spans="1:7" hidden="1" x14ac:dyDescent="0.25">
      <c r="A46" s="9" t="s">
        <v>384</v>
      </c>
      <c r="B46" s="9" t="s">
        <v>22</v>
      </c>
      <c r="C46" s="10">
        <v>284425.26</v>
      </c>
      <c r="D46" s="8" t="s">
        <v>16</v>
      </c>
      <c r="E46" s="9" t="s">
        <v>397</v>
      </c>
      <c r="F46" s="9" t="s">
        <v>397</v>
      </c>
    </row>
    <row r="47" spans="1:7" hidden="1" x14ac:dyDescent="0.25">
      <c r="A47" s="9" t="s">
        <v>384</v>
      </c>
      <c r="B47" s="9" t="s">
        <v>22</v>
      </c>
      <c r="C47" s="10">
        <v>694.48</v>
      </c>
      <c r="D47" s="8" t="s">
        <v>16</v>
      </c>
      <c r="E47" s="9" t="s">
        <v>397</v>
      </c>
      <c r="F47" s="9" t="s">
        <v>397</v>
      </c>
    </row>
    <row r="48" spans="1:7" hidden="1" x14ac:dyDescent="0.25">
      <c r="A48" s="9" t="s">
        <v>384</v>
      </c>
      <c r="B48" s="9" t="s">
        <v>22</v>
      </c>
      <c r="C48" s="10">
        <v>14605.34</v>
      </c>
      <c r="D48" s="8" t="s">
        <v>16</v>
      </c>
      <c r="E48" s="9" t="s">
        <v>397</v>
      </c>
      <c r="F48" s="9" t="s">
        <v>397</v>
      </c>
    </row>
    <row r="49" spans="1:6" hidden="1" x14ac:dyDescent="0.25">
      <c r="A49" s="9" t="s">
        <v>384</v>
      </c>
      <c r="B49" s="9" t="s">
        <v>22</v>
      </c>
      <c r="C49" s="10">
        <v>548540.88</v>
      </c>
      <c r="D49" s="8" t="s">
        <v>16</v>
      </c>
      <c r="E49" s="9" t="s">
        <v>397</v>
      </c>
      <c r="F49" s="9" t="s">
        <v>397</v>
      </c>
    </row>
    <row r="50" spans="1:6" hidden="1" x14ac:dyDescent="0.25">
      <c r="A50" s="9" t="s">
        <v>384</v>
      </c>
      <c r="B50" s="9" t="s">
        <v>37</v>
      </c>
      <c r="C50" s="10">
        <v>17662.03</v>
      </c>
      <c r="D50" s="8" t="s">
        <v>16</v>
      </c>
      <c r="E50" s="9" t="s">
        <v>397</v>
      </c>
      <c r="F50" s="9" t="s">
        <v>397</v>
      </c>
    </row>
    <row r="51" spans="1:6" hidden="1" x14ac:dyDescent="0.25">
      <c r="A51" s="9" t="s">
        <v>384</v>
      </c>
      <c r="B51" s="9" t="s">
        <v>50</v>
      </c>
      <c r="C51" s="10">
        <v>320307.99</v>
      </c>
      <c r="D51" s="8" t="s">
        <v>16</v>
      </c>
      <c r="E51" s="9" t="s">
        <v>397</v>
      </c>
      <c r="F51" s="9" t="s">
        <v>397</v>
      </c>
    </row>
    <row r="52" spans="1:6" x14ac:dyDescent="0.25">
      <c r="A52" s="16" t="s">
        <v>384</v>
      </c>
      <c r="B52" s="16" t="s">
        <v>20</v>
      </c>
      <c r="C52" s="17">
        <v>34295599.189999998</v>
      </c>
      <c r="D52" s="15" t="s">
        <v>7</v>
      </c>
      <c r="E52" s="16" t="s">
        <v>20</v>
      </c>
    </row>
    <row r="53" spans="1:6" x14ac:dyDescent="0.25">
      <c r="A53" s="6" t="s">
        <v>385</v>
      </c>
      <c r="B53" s="6" t="s">
        <v>10</v>
      </c>
      <c r="C53" s="7">
        <v>2182854.54</v>
      </c>
      <c r="D53" s="5" t="s">
        <v>7</v>
      </c>
      <c r="E53" s="6" t="s">
        <v>42</v>
      </c>
    </row>
    <row r="54" spans="1:6" x14ac:dyDescent="0.25">
      <c r="A54" s="6" t="s">
        <v>385</v>
      </c>
      <c r="B54" s="6" t="s">
        <v>12</v>
      </c>
      <c r="C54" s="7">
        <v>3007820.31</v>
      </c>
      <c r="D54" s="5" t="s">
        <v>7</v>
      </c>
      <c r="E54" s="6" t="s">
        <v>42</v>
      </c>
    </row>
    <row r="55" spans="1:6" x14ac:dyDescent="0.25">
      <c r="A55" s="6" t="s">
        <v>385</v>
      </c>
      <c r="B55" s="6" t="s">
        <v>11</v>
      </c>
      <c r="C55" s="7">
        <v>111.16</v>
      </c>
      <c r="D55" s="5" t="s">
        <v>7</v>
      </c>
      <c r="E55" s="6" t="s">
        <v>42</v>
      </c>
    </row>
    <row r="56" spans="1:6" x14ac:dyDescent="0.25">
      <c r="A56" s="6" t="s">
        <v>385</v>
      </c>
      <c r="B56" s="6" t="s">
        <v>13</v>
      </c>
      <c r="C56" s="7">
        <v>990875.33</v>
      </c>
      <c r="D56" s="5" t="s">
        <v>7</v>
      </c>
      <c r="E56" s="6" t="s">
        <v>42</v>
      </c>
    </row>
    <row r="57" spans="1:6" x14ac:dyDescent="0.25">
      <c r="A57" s="6" t="s">
        <v>385</v>
      </c>
      <c r="B57" s="6" t="s">
        <v>13</v>
      </c>
      <c r="C57" s="7">
        <v>2303493.62</v>
      </c>
      <c r="D57" s="5" t="s">
        <v>7</v>
      </c>
      <c r="E57" s="6" t="s">
        <v>42</v>
      </c>
    </row>
    <row r="58" spans="1:6" x14ac:dyDescent="0.25">
      <c r="A58" s="6" t="s">
        <v>385</v>
      </c>
      <c r="B58" s="6" t="s">
        <v>13</v>
      </c>
      <c r="C58" s="7">
        <v>25866030.559999999</v>
      </c>
      <c r="D58" s="5" t="s">
        <v>7</v>
      </c>
      <c r="E58" s="6" t="s">
        <v>42</v>
      </c>
    </row>
    <row r="59" spans="1:6" x14ac:dyDescent="0.25">
      <c r="A59" s="6" t="s">
        <v>385</v>
      </c>
      <c r="B59" s="6" t="s">
        <v>13</v>
      </c>
      <c r="C59" s="7">
        <v>11657.34</v>
      </c>
      <c r="D59" s="5" t="s">
        <v>7</v>
      </c>
      <c r="E59" s="6" t="s">
        <v>42</v>
      </c>
    </row>
    <row r="60" spans="1:6" x14ac:dyDescent="0.25">
      <c r="A60" s="11" t="s">
        <v>385</v>
      </c>
      <c r="B60" s="11" t="s">
        <v>14</v>
      </c>
      <c r="C60" s="13">
        <v>8764.56</v>
      </c>
      <c r="D60" s="12" t="s">
        <v>7</v>
      </c>
      <c r="E60" s="11" t="s">
        <v>43</v>
      </c>
    </row>
    <row r="61" spans="1:6" x14ac:dyDescent="0.25">
      <c r="A61" s="6" t="s">
        <v>385</v>
      </c>
      <c r="B61" s="6" t="s">
        <v>14</v>
      </c>
      <c r="C61" s="7">
        <v>5084.76</v>
      </c>
      <c r="D61" s="5" t="s">
        <v>7</v>
      </c>
      <c r="E61" s="6" t="s">
        <v>42</v>
      </c>
    </row>
    <row r="62" spans="1:6" hidden="1" x14ac:dyDescent="0.25">
      <c r="A62" s="11" t="s">
        <v>385</v>
      </c>
      <c r="B62" s="11" t="s">
        <v>15</v>
      </c>
      <c r="C62" s="13">
        <v>8764.56</v>
      </c>
      <c r="D62" s="12" t="s">
        <v>16</v>
      </c>
      <c r="E62" s="11" t="s">
        <v>43</v>
      </c>
    </row>
    <row r="63" spans="1:6" hidden="1" x14ac:dyDescent="0.25">
      <c r="A63" t="s">
        <v>385</v>
      </c>
      <c r="B63" t="s">
        <v>37</v>
      </c>
      <c r="C63" s="1">
        <v>10029.56</v>
      </c>
      <c r="D63" s="2" t="s">
        <v>16</v>
      </c>
      <c r="E63" t="s">
        <v>37</v>
      </c>
    </row>
    <row r="64" spans="1:6" hidden="1" x14ac:dyDescent="0.25">
      <c r="A64" t="s">
        <v>385</v>
      </c>
      <c r="B64" t="s">
        <v>22</v>
      </c>
      <c r="C64" s="1">
        <v>3047.41</v>
      </c>
      <c r="D64" s="2" t="s">
        <v>16</v>
      </c>
    </row>
    <row r="65" spans="1:6" hidden="1" x14ac:dyDescent="0.25">
      <c r="A65" s="9" t="s">
        <v>385</v>
      </c>
      <c r="B65" s="9" t="s">
        <v>50</v>
      </c>
      <c r="C65" s="10">
        <v>333.78</v>
      </c>
      <c r="D65" s="8" t="s">
        <v>16</v>
      </c>
      <c r="E65" s="9" t="s">
        <v>66</v>
      </c>
      <c r="F65" s="186" t="s">
        <v>325</v>
      </c>
    </row>
    <row r="66" spans="1:6" hidden="1" x14ac:dyDescent="0.25">
      <c r="A66" s="19" t="s">
        <v>385</v>
      </c>
      <c r="B66" s="19" t="s">
        <v>24</v>
      </c>
      <c r="C66" s="20">
        <v>10.47</v>
      </c>
      <c r="D66" s="18" t="s">
        <v>16</v>
      </c>
      <c r="E66" s="19" t="s">
        <v>45</v>
      </c>
    </row>
    <row r="67" spans="1:6" hidden="1" x14ac:dyDescent="0.25">
      <c r="A67" s="19" t="s">
        <v>385</v>
      </c>
      <c r="B67" s="19" t="s">
        <v>24</v>
      </c>
      <c r="C67" s="20">
        <v>20.05</v>
      </c>
      <c r="D67" s="18" t="s">
        <v>16</v>
      </c>
      <c r="E67" s="19" t="s">
        <v>45</v>
      </c>
    </row>
    <row r="68" spans="1:6" hidden="1" x14ac:dyDescent="0.25">
      <c r="A68" s="16" t="s">
        <v>385</v>
      </c>
      <c r="B68" s="16" t="s">
        <v>17</v>
      </c>
      <c r="C68" s="17">
        <v>34354486.350000001</v>
      </c>
      <c r="D68" s="15" t="s">
        <v>16</v>
      </c>
      <c r="E68" s="16" t="s">
        <v>44</v>
      </c>
    </row>
  </sheetData>
  <autoFilter ref="A3:F68" xr:uid="{06113CC5-8762-4C38-BF4D-7C83CD5F3C8D}">
    <filterColumn colId="3">
      <filters>
        <filter val="C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8569-D4DA-4727-A3D9-BFCB57E3C660}">
  <dimension ref="B2:H52"/>
  <sheetViews>
    <sheetView topLeftCell="A34" zoomScaleNormal="100" workbookViewId="0">
      <selection activeCell="F19" sqref="F19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0.5703125" style="62" customWidth="1"/>
    <col min="9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620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73189.579999999987</v>
      </c>
      <c r="F5" s="104">
        <f>E5+'Saldos - 02-2025'!F5</f>
        <v>199764.86</v>
      </c>
    </row>
    <row r="6" spans="2:8" x14ac:dyDescent="0.25">
      <c r="B6" s="401" t="s">
        <v>405</v>
      </c>
      <c r="C6" s="402"/>
      <c r="D6" s="402"/>
      <c r="E6" s="105">
        <v>0</v>
      </c>
      <c r="F6" s="104">
        <f>E6+'Saldos - 02-2025'!F6</f>
        <v>1477881.77</v>
      </c>
    </row>
    <row r="7" spans="2:8" x14ac:dyDescent="0.25">
      <c r="B7" s="401" t="s">
        <v>406</v>
      </c>
      <c r="C7" s="402"/>
      <c r="D7" s="402"/>
      <c r="E7" s="105">
        <v>64600082.889999986</v>
      </c>
      <c r="F7" s="104">
        <f>E7+'Saldos - 02-2025'!F7</f>
        <v>236223872.94999999</v>
      </c>
    </row>
    <row r="8" spans="2:8" x14ac:dyDescent="0.25">
      <c r="B8" s="401" t="s">
        <v>407</v>
      </c>
      <c r="C8" s="402"/>
      <c r="D8" s="402"/>
      <c r="E8" s="105">
        <v>14909966.49</v>
      </c>
      <c r="F8" s="104">
        <f>E8+'Saldos - 02-2025'!F8</f>
        <v>44506907.580000006</v>
      </c>
    </row>
    <row r="9" spans="2:8" x14ac:dyDescent="0.25">
      <c r="B9" s="401" t="s">
        <v>408</v>
      </c>
      <c r="C9" s="402"/>
      <c r="D9" s="402"/>
      <c r="E9" s="105">
        <v>4219366.51</v>
      </c>
      <c r="F9" s="104">
        <f>E9+'Saldos - 02-2025'!F9</f>
        <v>5975385.4399999995</v>
      </c>
    </row>
    <row r="10" spans="2:8" x14ac:dyDescent="0.25">
      <c r="B10" s="401" t="s">
        <v>409</v>
      </c>
      <c r="C10" s="402"/>
      <c r="D10" s="402"/>
      <c r="E10" s="105">
        <v>0</v>
      </c>
      <c r="F10" s="104">
        <f>E10+'Saldos - 02-2025'!F10</f>
        <v>125706.44</v>
      </c>
    </row>
    <row r="11" spans="2:8" x14ac:dyDescent="0.25">
      <c r="B11" s="401" t="s">
        <v>410</v>
      </c>
      <c r="C11" s="402"/>
      <c r="D11" s="402"/>
      <c r="E11" s="105">
        <v>640.42999999999995</v>
      </c>
      <c r="F11" s="104">
        <f>E11+'Saldos - 02-2025'!F11</f>
        <v>3416.47</v>
      </c>
    </row>
    <row r="12" spans="2:8" x14ac:dyDescent="0.25">
      <c r="B12" s="403" t="s">
        <v>411</v>
      </c>
      <c r="C12" s="404"/>
      <c r="D12" s="404"/>
      <c r="E12" s="107">
        <v>111.18</v>
      </c>
      <c r="F12" s="108">
        <f>E12+'Saldos - 02-2025'!F12</f>
        <v>222.36</v>
      </c>
    </row>
    <row r="13" spans="2:8" ht="15.75" thickBot="1" x14ac:dyDescent="0.3">
      <c r="B13" s="405" t="s">
        <v>412</v>
      </c>
      <c r="C13" s="406"/>
      <c r="D13" s="406"/>
      <c r="E13" s="110">
        <v>51499900.170000002</v>
      </c>
      <c r="F13" s="111">
        <f>E13+'Saldos - 02-2025'!F13</f>
        <v>175755474.06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135303257.25</v>
      </c>
      <c r="F14" s="100">
        <f>SUM(F5:F13)</f>
        <v>464268631.93000001</v>
      </c>
      <c r="H14" s="123"/>
    </row>
    <row r="15" spans="2:8" x14ac:dyDescent="0.25">
      <c r="B15" s="393" t="s">
        <v>414</v>
      </c>
      <c r="C15" s="394"/>
      <c r="D15" s="394"/>
      <c r="E15" s="112">
        <v>-46318.11</v>
      </c>
      <c r="F15" s="241">
        <f>E15+'Saldos - 02-2025'!F15</f>
        <v>-126421.47</v>
      </c>
    </row>
    <row r="16" spans="2:8" x14ac:dyDescent="0.25">
      <c r="B16" s="395" t="s">
        <v>415</v>
      </c>
      <c r="C16" s="396"/>
      <c r="D16" s="396"/>
      <c r="E16" s="114">
        <f>-E12</f>
        <v>-111.18</v>
      </c>
      <c r="F16" s="242">
        <f>E16+'Saldos - 02-2025'!F16</f>
        <v>-222.36</v>
      </c>
    </row>
    <row r="17" spans="2:8" x14ac:dyDescent="0.25">
      <c r="B17" s="397" t="s">
        <v>439</v>
      </c>
      <c r="C17" s="398"/>
      <c r="D17" s="398"/>
      <c r="E17" s="110">
        <f>-E13</f>
        <v>-51499900.170000002</v>
      </c>
      <c r="F17" s="111">
        <f>E17+'Saldos - 02-2025'!F17</f>
        <v>-175755474.06</v>
      </c>
    </row>
    <row r="18" spans="2:8" ht="15.75" thickBot="1" x14ac:dyDescent="0.3">
      <c r="B18" s="367" t="s">
        <v>440</v>
      </c>
      <c r="C18" s="368"/>
      <c r="D18" s="368"/>
      <c r="E18" s="120"/>
      <c r="F18" s="243">
        <f>E18+'Saldos - 02-2025'!F18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83756927.789999977</v>
      </c>
      <c r="F19" s="122">
        <f>SUM(F14:F18)</f>
        <v>288221868.34999996</v>
      </c>
      <c r="G19" s="123"/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46318.11</v>
      </c>
      <c r="F22" s="130">
        <f>E22+'Saldos - 02-2025'!F22</f>
        <v>126421.46999999999</v>
      </c>
    </row>
    <row r="23" spans="2:8" x14ac:dyDescent="0.25">
      <c r="B23" s="383" t="s">
        <v>442</v>
      </c>
      <c r="C23" s="384"/>
      <c r="D23" s="384"/>
      <c r="E23" s="109">
        <v>0</v>
      </c>
      <c r="F23" s="131">
        <f>E23+'Saldos - 02-2025'!F23</f>
        <v>0</v>
      </c>
    </row>
    <row r="24" spans="2:8" x14ac:dyDescent="0.25">
      <c r="B24" s="385" t="s">
        <v>438</v>
      </c>
      <c r="C24" s="386"/>
      <c r="D24" s="386"/>
      <c r="E24" s="132">
        <v>40969509.530000009</v>
      </c>
      <c r="F24" s="133">
        <f>E24+'Saldos - 02-2025'!F24</f>
        <v>81863226.75</v>
      </c>
    </row>
    <row r="25" spans="2:8" x14ac:dyDescent="0.25">
      <c r="B25" s="385" t="s">
        <v>433</v>
      </c>
      <c r="C25" s="386"/>
      <c r="D25" s="386"/>
      <c r="E25" s="132">
        <v>0</v>
      </c>
      <c r="F25" s="133">
        <f>E25+'Saldos - 02-2025'!F25</f>
        <v>34311367.489999995</v>
      </c>
    </row>
    <row r="26" spans="2:8" x14ac:dyDescent="0.25">
      <c r="B26" s="385" t="s">
        <v>447</v>
      </c>
      <c r="C26" s="386"/>
      <c r="D26" s="386"/>
      <c r="E26" s="132">
        <v>0</v>
      </c>
      <c r="F26" s="133">
        <f>E26+'Saldos - 02-2025'!F26</f>
        <v>34175581.810000002</v>
      </c>
    </row>
    <row r="27" spans="2:8" x14ac:dyDescent="0.25">
      <c r="B27" s="385" t="s">
        <v>626</v>
      </c>
      <c r="C27" s="386"/>
      <c r="D27" s="386"/>
      <c r="E27" s="132">
        <v>33980887.539999999</v>
      </c>
      <c r="F27" s="133">
        <f>E27</f>
        <v>33980887.539999999</v>
      </c>
    </row>
    <row r="28" spans="2:8" x14ac:dyDescent="0.25">
      <c r="B28" s="385" t="s">
        <v>622</v>
      </c>
      <c r="C28" s="386"/>
      <c r="D28" s="386"/>
      <c r="E28" s="132">
        <v>0</v>
      </c>
      <c r="F28" s="133">
        <f>E28+'Saldos - 02-2025'!F27</f>
        <v>15697875.6</v>
      </c>
    </row>
    <row r="29" spans="2:8" x14ac:dyDescent="0.25">
      <c r="B29" s="385" t="s">
        <v>623</v>
      </c>
      <c r="C29" s="386"/>
      <c r="D29" s="386"/>
      <c r="E29" s="132"/>
      <c r="F29" s="133">
        <f>E29+'Saldos - 02-2025'!F28</f>
        <v>164645.69</v>
      </c>
    </row>
    <row r="30" spans="2:8" x14ac:dyDescent="0.25">
      <c r="B30" s="385" t="s">
        <v>624</v>
      </c>
      <c r="C30" s="386"/>
      <c r="D30" s="386"/>
      <c r="E30" s="154">
        <v>1668.8999999999999</v>
      </c>
      <c r="F30" s="133">
        <f>E30+'Saldos - 02-2025'!F29</f>
        <v>3004.0199999999995</v>
      </c>
    </row>
    <row r="31" spans="2:8" x14ac:dyDescent="0.25">
      <c r="B31" s="385" t="s">
        <v>625</v>
      </c>
      <c r="C31" s="386"/>
      <c r="D31" s="386"/>
      <c r="E31" s="154">
        <v>10029.56</v>
      </c>
      <c r="F31" s="133">
        <f>E31+'Saldos - 02-2025'!F30</f>
        <v>20059.12</v>
      </c>
    </row>
    <row r="32" spans="2:8" x14ac:dyDescent="0.25">
      <c r="B32" s="387" t="s">
        <v>451</v>
      </c>
      <c r="C32" s="388"/>
      <c r="D32" s="388"/>
      <c r="E32" s="134">
        <v>30.52</v>
      </c>
      <c r="F32" s="135">
        <f>E32+'Saldos - 02-2025'!F31</f>
        <v>7490.51</v>
      </c>
    </row>
    <row r="33" spans="2:8" ht="15.75" thickBot="1" x14ac:dyDescent="0.3">
      <c r="B33" s="389" t="s">
        <v>627</v>
      </c>
      <c r="C33" s="390"/>
      <c r="D33" s="390"/>
      <c r="E33" s="136">
        <v>60294813.090000004</v>
      </c>
      <c r="F33" s="137">
        <f>E33+'Saldos - 02-2025'!F32</f>
        <v>263918071.93000001</v>
      </c>
    </row>
    <row r="34" spans="2:8" ht="15.75" thickBot="1" x14ac:dyDescent="0.3">
      <c r="B34" s="391" t="s">
        <v>418</v>
      </c>
      <c r="C34" s="392"/>
      <c r="D34" s="392"/>
      <c r="E34" s="127">
        <f>SUM(E22:E33)</f>
        <v>135303257.25</v>
      </c>
      <c r="F34" s="138">
        <f>SUM(F22:F33)</f>
        <v>464268631.92999995</v>
      </c>
      <c r="G34" s="123"/>
      <c r="H34" s="123">
        <f>E34-E14</f>
        <v>0</v>
      </c>
    </row>
    <row r="35" spans="2:8" x14ac:dyDescent="0.25">
      <c r="B35" s="374" t="s">
        <v>419</v>
      </c>
      <c r="C35" s="375"/>
      <c r="D35" s="376"/>
      <c r="E35" s="112">
        <f>-E22</f>
        <v>-46318.11</v>
      </c>
      <c r="F35" s="139">
        <f>E35+'Saldos - 02-2025'!F34</f>
        <v>-126421.46999999999</v>
      </c>
    </row>
    <row r="36" spans="2:8" x14ac:dyDescent="0.25">
      <c r="B36" s="377" t="s">
        <v>420</v>
      </c>
      <c r="C36" s="378"/>
      <c r="D36" s="379"/>
      <c r="E36" s="118">
        <f>-E33</f>
        <v>-60294813.090000004</v>
      </c>
      <c r="F36" s="247">
        <f>E36+'Saldos - 02-2025'!F35</f>
        <v>-263918071.93000001</v>
      </c>
    </row>
    <row r="37" spans="2:8" x14ac:dyDescent="0.25">
      <c r="B37" s="367" t="s">
        <v>454</v>
      </c>
      <c r="C37" s="368"/>
      <c r="D37" s="368"/>
      <c r="E37" s="109"/>
      <c r="F37" s="246">
        <f>E37+'Saldos - 02-2025'!F36</f>
        <v>-111.18</v>
      </c>
    </row>
    <row r="38" spans="2:8" x14ac:dyDescent="0.25">
      <c r="B38" s="380" t="s">
        <v>453</v>
      </c>
      <c r="C38" s="381"/>
      <c r="D38" s="382"/>
      <c r="E38" s="134">
        <f>-E32</f>
        <v>-30.52</v>
      </c>
      <c r="F38" s="245">
        <f>E38+'Saldos - 02-2025'!F37</f>
        <v>-7490.51</v>
      </c>
    </row>
    <row r="39" spans="2:8" x14ac:dyDescent="0.25">
      <c r="B39" s="383" t="s">
        <v>423</v>
      </c>
      <c r="C39" s="384"/>
      <c r="D39" s="384"/>
      <c r="E39" s="116"/>
      <c r="F39" s="246">
        <f>E39+'Saldos - 02-2025'!F38</f>
        <v>-34175581.810000002</v>
      </c>
    </row>
    <row r="40" spans="2:8" x14ac:dyDescent="0.25">
      <c r="B40" s="383" t="s">
        <v>455</v>
      </c>
      <c r="C40" s="384"/>
      <c r="D40" s="384"/>
      <c r="E40" s="116"/>
      <c r="F40" s="246">
        <f>E40+'Saldos - 02-2025'!F39</f>
        <v>-164645.69</v>
      </c>
    </row>
    <row r="41" spans="2:8" x14ac:dyDescent="0.25">
      <c r="B41" s="383" t="s">
        <v>458</v>
      </c>
      <c r="C41" s="384"/>
      <c r="D41" s="384"/>
      <c r="E41" s="116">
        <v>-10029.56</v>
      </c>
      <c r="F41" s="246">
        <f>E41+'Saldos - 02-2025'!F40</f>
        <v>-20059.12</v>
      </c>
    </row>
    <row r="42" spans="2:8" ht="15.75" customHeight="1" x14ac:dyDescent="0.25">
      <c r="B42" s="367" t="s">
        <v>456</v>
      </c>
      <c r="C42" s="368"/>
      <c r="D42" s="368"/>
      <c r="E42" s="116">
        <v>34210176.420000002</v>
      </c>
      <c r="F42" s="246">
        <f>E42+'Saldos - 02-2025'!F41</f>
        <v>34223471.030000001</v>
      </c>
    </row>
    <row r="43" spans="2:8" x14ac:dyDescent="0.25">
      <c r="B43" s="367" t="s">
        <v>483</v>
      </c>
      <c r="C43" s="368"/>
      <c r="D43" s="368"/>
      <c r="E43" s="116"/>
      <c r="F43" s="246">
        <f>E43+'Saldos - 02-2025'!F42</f>
        <v>-667.56</v>
      </c>
      <c r="H43" s="123"/>
    </row>
    <row r="44" spans="2:8" ht="15.75" thickBot="1" x14ac:dyDescent="0.3">
      <c r="B44" s="369" t="s">
        <v>424</v>
      </c>
      <c r="C44" s="369"/>
      <c r="D44" s="370"/>
      <c r="E44" s="145">
        <f>SUM(E34:E43)</f>
        <v>109162242.38999999</v>
      </c>
      <c r="F44" s="146">
        <f>SUM(F34:F43)</f>
        <v>200079053.68999991</v>
      </c>
      <c r="H44" s="123"/>
    </row>
    <row r="45" spans="2:8" x14ac:dyDescent="0.25">
      <c r="B45" s="124"/>
      <c r="D45" s="125"/>
      <c r="E45" s="147"/>
      <c r="F45" s="123"/>
    </row>
    <row r="46" spans="2:8" x14ac:dyDescent="0.25">
      <c r="B46" s="371" t="s">
        <v>425</v>
      </c>
      <c r="C46" s="372"/>
      <c r="D46" s="373"/>
      <c r="E46" s="148"/>
      <c r="F46" s="123"/>
    </row>
    <row r="47" spans="2:8" x14ac:dyDescent="0.25">
      <c r="B47" s="364" t="s">
        <v>426</v>
      </c>
      <c r="C47" s="365"/>
      <c r="D47" s="366"/>
      <c r="E47" s="149">
        <f>'Saldos - 02-2025'!E50</f>
        <v>96048208.069999993</v>
      </c>
      <c r="F47" s="123"/>
    </row>
    <row r="48" spans="2:8" x14ac:dyDescent="0.25">
      <c r="B48" s="364" t="s">
        <v>427</v>
      </c>
      <c r="C48" s="365"/>
      <c r="D48" s="366"/>
      <c r="E48" s="150">
        <v>60294813.090000004</v>
      </c>
    </row>
    <row r="49" spans="2:6" x14ac:dyDescent="0.25">
      <c r="B49" s="364" t="s">
        <v>428</v>
      </c>
      <c r="C49" s="365"/>
      <c r="D49" s="366"/>
      <c r="E49" s="149">
        <v>51499900.170000002</v>
      </c>
    </row>
    <row r="50" spans="2:6" x14ac:dyDescent="0.25">
      <c r="B50" s="364" t="s">
        <v>429</v>
      </c>
      <c r="C50" s="365"/>
      <c r="D50" s="366"/>
      <c r="E50" s="149">
        <v>663914.5</v>
      </c>
      <c r="F50" s="94"/>
    </row>
    <row r="51" spans="2:6" x14ac:dyDescent="0.25">
      <c r="B51" s="364" t="s">
        <v>430</v>
      </c>
      <c r="C51" s="365"/>
      <c r="D51" s="366"/>
      <c r="E51" s="151">
        <f>E47+E48-E49+E50</f>
        <v>105507035.48999999</v>
      </c>
      <c r="F51" s="123"/>
    </row>
    <row r="52" spans="2:6" x14ac:dyDescent="0.25">
      <c r="B52" s="152"/>
      <c r="C52" s="93"/>
      <c r="D52" s="93"/>
      <c r="E52" s="153"/>
    </row>
  </sheetData>
  <mergeCells count="46">
    <mergeCell ref="B49:D49"/>
    <mergeCell ref="B50:D50"/>
    <mergeCell ref="B51:D51"/>
    <mergeCell ref="B27:D27"/>
    <mergeCell ref="B42:D42"/>
    <mergeCell ref="B43:D43"/>
    <mergeCell ref="B44:D44"/>
    <mergeCell ref="B46:D46"/>
    <mergeCell ref="B47:D47"/>
    <mergeCell ref="B48:D48"/>
    <mergeCell ref="B36:D36"/>
    <mergeCell ref="B37:D37"/>
    <mergeCell ref="B38:D38"/>
    <mergeCell ref="B39:D39"/>
    <mergeCell ref="B40:D40"/>
    <mergeCell ref="B41:D41"/>
    <mergeCell ref="B35:D35"/>
    <mergeCell ref="B23:D23"/>
    <mergeCell ref="B24:D24"/>
    <mergeCell ref="B25:D25"/>
    <mergeCell ref="B26:D26"/>
    <mergeCell ref="B28:D28"/>
    <mergeCell ref="B29:D29"/>
    <mergeCell ref="B30:D30"/>
    <mergeCell ref="B31:D31"/>
    <mergeCell ref="B32:D32"/>
    <mergeCell ref="B33:D33"/>
    <mergeCell ref="B34:D34"/>
    <mergeCell ref="B22:D22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1:D21"/>
    <mergeCell ref="B9:D9"/>
    <mergeCell ref="B2:F2"/>
    <mergeCell ref="B5:D5"/>
    <mergeCell ref="B6:D6"/>
    <mergeCell ref="B7:D7"/>
    <mergeCell ref="B8:D8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A63B-4067-42D8-BDA7-ECC31877F362}">
  <sheetPr filterMode="1"/>
  <dimension ref="A2:I55"/>
  <sheetViews>
    <sheetView zoomScaleNormal="100" workbookViewId="0">
      <selection activeCell="D2" sqref="D2"/>
    </sheetView>
  </sheetViews>
  <sheetFormatPr defaultRowHeight="12.75" x14ac:dyDescent="0.2"/>
  <cols>
    <col min="1" max="1" width="15" style="230" customWidth="1"/>
    <col min="2" max="2" width="15.5703125" style="230" customWidth="1"/>
    <col min="3" max="3" width="66.5703125" style="230" customWidth="1"/>
    <col min="4" max="4" width="15.42578125" style="230" customWidth="1"/>
    <col min="5" max="5" width="22" style="240" customWidth="1"/>
    <col min="6" max="6" width="14.28515625" style="230" customWidth="1"/>
    <col min="7" max="7" width="15.28515625" style="230" customWidth="1"/>
    <col min="8" max="8" width="9.140625" style="230"/>
    <col min="9" max="9" width="10.140625" style="230" bestFit="1" customWidth="1"/>
    <col min="10" max="252" width="9.140625" style="230"/>
    <col min="253" max="254" width="11" style="230" bestFit="1" customWidth="1"/>
    <col min="255" max="255" width="40" style="230" bestFit="1" customWidth="1"/>
    <col min="256" max="256" width="28" style="230" bestFit="1" customWidth="1"/>
    <col min="257" max="257" width="13" style="230" bestFit="1" customWidth="1"/>
    <col min="258" max="258" width="14" style="230" bestFit="1" customWidth="1"/>
    <col min="259" max="259" width="13" style="230" bestFit="1" customWidth="1"/>
    <col min="260" max="260" width="30" style="230" bestFit="1" customWidth="1"/>
    <col min="261" max="508" width="9.140625" style="230"/>
    <col min="509" max="510" width="11" style="230" bestFit="1" customWidth="1"/>
    <col min="511" max="511" width="40" style="230" bestFit="1" customWidth="1"/>
    <col min="512" max="512" width="28" style="230" bestFit="1" customWidth="1"/>
    <col min="513" max="513" width="13" style="230" bestFit="1" customWidth="1"/>
    <col min="514" max="514" width="14" style="230" bestFit="1" customWidth="1"/>
    <col min="515" max="515" width="13" style="230" bestFit="1" customWidth="1"/>
    <col min="516" max="516" width="30" style="230" bestFit="1" customWidth="1"/>
    <col min="517" max="764" width="9.140625" style="230"/>
    <col min="765" max="766" width="11" style="230" bestFit="1" customWidth="1"/>
    <col min="767" max="767" width="40" style="230" bestFit="1" customWidth="1"/>
    <col min="768" max="768" width="28" style="230" bestFit="1" customWidth="1"/>
    <col min="769" max="769" width="13" style="230" bestFit="1" customWidth="1"/>
    <col min="770" max="770" width="14" style="230" bestFit="1" customWidth="1"/>
    <col min="771" max="771" width="13" style="230" bestFit="1" customWidth="1"/>
    <col min="772" max="772" width="30" style="230" bestFit="1" customWidth="1"/>
    <col min="773" max="1020" width="9.140625" style="230"/>
    <col min="1021" max="1022" width="11" style="230" bestFit="1" customWidth="1"/>
    <col min="1023" max="1023" width="40" style="230" bestFit="1" customWidth="1"/>
    <col min="1024" max="1024" width="28" style="230" bestFit="1" customWidth="1"/>
    <col min="1025" max="1025" width="13" style="230" bestFit="1" customWidth="1"/>
    <col min="1026" max="1026" width="14" style="230" bestFit="1" customWidth="1"/>
    <col min="1027" max="1027" width="13" style="230" bestFit="1" customWidth="1"/>
    <col min="1028" max="1028" width="30" style="230" bestFit="1" customWidth="1"/>
    <col min="1029" max="1276" width="9.140625" style="230"/>
    <col min="1277" max="1278" width="11" style="230" bestFit="1" customWidth="1"/>
    <col min="1279" max="1279" width="40" style="230" bestFit="1" customWidth="1"/>
    <col min="1280" max="1280" width="28" style="230" bestFit="1" customWidth="1"/>
    <col min="1281" max="1281" width="13" style="230" bestFit="1" customWidth="1"/>
    <col min="1282" max="1282" width="14" style="230" bestFit="1" customWidth="1"/>
    <col min="1283" max="1283" width="13" style="230" bestFit="1" customWidth="1"/>
    <col min="1284" max="1284" width="30" style="230" bestFit="1" customWidth="1"/>
    <col min="1285" max="1532" width="9.140625" style="230"/>
    <col min="1533" max="1534" width="11" style="230" bestFit="1" customWidth="1"/>
    <col min="1535" max="1535" width="40" style="230" bestFit="1" customWidth="1"/>
    <col min="1536" max="1536" width="28" style="230" bestFit="1" customWidth="1"/>
    <col min="1537" max="1537" width="13" style="230" bestFit="1" customWidth="1"/>
    <col min="1538" max="1538" width="14" style="230" bestFit="1" customWidth="1"/>
    <col min="1539" max="1539" width="13" style="230" bestFit="1" customWidth="1"/>
    <col min="1540" max="1540" width="30" style="230" bestFit="1" customWidth="1"/>
    <col min="1541" max="1788" width="9.140625" style="230"/>
    <col min="1789" max="1790" width="11" style="230" bestFit="1" customWidth="1"/>
    <col min="1791" max="1791" width="40" style="230" bestFit="1" customWidth="1"/>
    <col min="1792" max="1792" width="28" style="230" bestFit="1" customWidth="1"/>
    <col min="1793" max="1793" width="13" style="230" bestFit="1" customWidth="1"/>
    <col min="1794" max="1794" width="14" style="230" bestFit="1" customWidth="1"/>
    <col min="1795" max="1795" width="13" style="230" bestFit="1" customWidth="1"/>
    <col min="1796" max="1796" width="30" style="230" bestFit="1" customWidth="1"/>
    <col min="1797" max="2044" width="9.140625" style="230"/>
    <col min="2045" max="2046" width="11" style="230" bestFit="1" customWidth="1"/>
    <col min="2047" max="2047" width="40" style="230" bestFit="1" customWidth="1"/>
    <col min="2048" max="2048" width="28" style="230" bestFit="1" customWidth="1"/>
    <col min="2049" max="2049" width="13" style="230" bestFit="1" customWidth="1"/>
    <col min="2050" max="2050" width="14" style="230" bestFit="1" customWidth="1"/>
    <col min="2051" max="2051" width="13" style="230" bestFit="1" customWidth="1"/>
    <col min="2052" max="2052" width="30" style="230" bestFit="1" customWidth="1"/>
    <col min="2053" max="2300" width="9.140625" style="230"/>
    <col min="2301" max="2302" width="11" style="230" bestFit="1" customWidth="1"/>
    <col min="2303" max="2303" width="40" style="230" bestFit="1" customWidth="1"/>
    <col min="2304" max="2304" width="28" style="230" bestFit="1" customWidth="1"/>
    <col min="2305" max="2305" width="13" style="230" bestFit="1" customWidth="1"/>
    <col min="2306" max="2306" width="14" style="230" bestFit="1" customWidth="1"/>
    <col min="2307" max="2307" width="13" style="230" bestFit="1" customWidth="1"/>
    <col min="2308" max="2308" width="30" style="230" bestFit="1" customWidth="1"/>
    <col min="2309" max="2556" width="9.140625" style="230"/>
    <col min="2557" max="2558" width="11" style="230" bestFit="1" customWidth="1"/>
    <col min="2559" max="2559" width="40" style="230" bestFit="1" customWidth="1"/>
    <col min="2560" max="2560" width="28" style="230" bestFit="1" customWidth="1"/>
    <col min="2561" max="2561" width="13" style="230" bestFit="1" customWidth="1"/>
    <col min="2562" max="2562" width="14" style="230" bestFit="1" customWidth="1"/>
    <col min="2563" max="2563" width="13" style="230" bestFit="1" customWidth="1"/>
    <col min="2564" max="2564" width="30" style="230" bestFit="1" customWidth="1"/>
    <col min="2565" max="2812" width="9.140625" style="230"/>
    <col min="2813" max="2814" width="11" style="230" bestFit="1" customWidth="1"/>
    <col min="2815" max="2815" width="40" style="230" bestFit="1" customWidth="1"/>
    <col min="2816" max="2816" width="28" style="230" bestFit="1" customWidth="1"/>
    <col min="2817" max="2817" width="13" style="230" bestFit="1" customWidth="1"/>
    <col min="2818" max="2818" width="14" style="230" bestFit="1" customWidth="1"/>
    <col min="2819" max="2819" width="13" style="230" bestFit="1" customWidth="1"/>
    <col min="2820" max="2820" width="30" style="230" bestFit="1" customWidth="1"/>
    <col min="2821" max="3068" width="9.140625" style="230"/>
    <col min="3069" max="3070" width="11" style="230" bestFit="1" customWidth="1"/>
    <col min="3071" max="3071" width="40" style="230" bestFit="1" customWidth="1"/>
    <col min="3072" max="3072" width="28" style="230" bestFit="1" customWidth="1"/>
    <col min="3073" max="3073" width="13" style="230" bestFit="1" customWidth="1"/>
    <col min="3074" max="3074" width="14" style="230" bestFit="1" customWidth="1"/>
    <col min="3075" max="3075" width="13" style="230" bestFit="1" customWidth="1"/>
    <col min="3076" max="3076" width="30" style="230" bestFit="1" customWidth="1"/>
    <col min="3077" max="3324" width="9.140625" style="230"/>
    <col min="3325" max="3326" width="11" style="230" bestFit="1" customWidth="1"/>
    <col min="3327" max="3327" width="40" style="230" bestFit="1" customWidth="1"/>
    <col min="3328" max="3328" width="28" style="230" bestFit="1" customWidth="1"/>
    <col min="3329" max="3329" width="13" style="230" bestFit="1" customWidth="1"/>
    <col min="3330" max="3330" width="14" style="230" bestFit="1" customWidth="1"/>
    <col min="3331" max="3331" width="13" style="230" bestFit="1" customWidth="1"/>
    <col min="3332" max="3332" width="30" style="230" bestFit="1" customWidth="1"/>
    <col min="3333" max="3580" width="9.140625" style="230"/>
    <col min="3581" max="3582" width="11" style="230" bestFit="1" customWidth="1"/>
    <col min="3583" max="3583" width="40" style="230" bestFit="1" customWidth="1"/>
    <col min="3584" max="3584" width="28" style="230" bestFit="1" customWidth="1"/>
    <col min="3585" max="3585" width="13" style="230" bestFit="1" customWidth="1"/>
    <col min="3586" max="3586" width="14" style="230" bestFit="1" customWidth="1"/>
    <col min="3587" max="3587" width="13" style="230" bestFit="1" customWidth="1"/>
    <col min="3588" max="3588" width="30" style="230" bestFit="1" customWidth="1"/>
    <col min="3589" max="3836" width="9.140625" style="230"/>
    <col min="3837" max="3838" width="11" style="230" bestFit="1" customWidth="1"/>
    <col min="3839" max="3839" width="40" style="230" bestFit="1" customWidth="1"/>
    <col min="3840" max="3840" width="28" style="230" bestFit="1" customWidth="1"/>
    <col min="3841" max="3841" width="13" style="230" bestFit="1" customWidth="1"/>
    <col min="3842" max="3842" width="14" style="230" bestFit="1" customWidth="1"/>
    <col min="3843" max="3843" width="13" style="230" bestFit="1" customWidth="1"/>
    <col min="3844" max="3844" width="30" style="230" bestFit="1" customWidth="1"/>
    <col min="3845" max="4092" width="9.140625" style="230"/>
    <col min="4093" max="4094" width="11" style="230" bestFit="1" customWidth="1"/>
    <col min="4095" max="4095" width="40" style="230" bestFit="1" customWidth="1"/>
    <col min="4096" max="4096" width="28" style="230" bestFit="1" customWidth="1"/>
    <col min="4097" max="4097" width="13" style="230" bestFit="1" customWidth="1"/>
    <col min="4098" max="4098" width="14" style="230" bestFit="1" customWidth="1"/>
    <col min="4099" max="4099" width="13" style="230" bestFit="1" customWidth="1"/>
    <col min="4100" max="4100" width="30" style="230" bestFit="1" customWidth="1"/>
    <col min="4101" max="4348" width="9.140625" style="230"/>
    <col min="4349" max="4350" width="11" style="230" bestFit="1" customWidth="1"/>
    <col min="4351" max="4351" width="40" style="230" bestFit="1" customWidth="1"/>
    <col min="4352" max="4352" width="28" style="230" bestFit="1" customWidth="1"/>
    <col min="4353" max="4353" width="13" style="230" bestFit="1" customWidth="1"/>
    <col min="4354" max="4354" width="14" style="230" bestFit="1" customWidth="1"/>
    <col min="4355" max="4355" width="13" style="230" bestFit="1" customWidth="1"/>
    <col min="4356" max="4356" width="30" style="230" bestFit="1" customWidth="1"/>
    <col min="4357" max="4604" width="9.140625" style="230"/>
    <col min="4605" max="4606" width="11" style="230" bestFit="1" customWidth="1"/>
    <col min="4607" max="4607" width="40" style="230" bestFit="1" customWidth="1"/>
    <col min="4608" max="4608" width="28" style="230" bestFit="1" customWidth="1"/>
    <col min="4609" max="4609" width="13" style="230" bestFit="1" customWidth="1"/>
    <col min="4610" max="4610" width="14" style="230" bestFit="1" customWidth="1"/>
    <col min="4611" max="4611" width="13" style="230" bestFit="1" customWidth="1"/>
    <col min="4612" max="4612" width="30" style="230" bestFit="1" customWidth="1"/>
    <col min="4613" max="4860" width="9.140625" style="230"/>
    <col min="4861" max="4862" width="11" style="230" bestFit="1" customWidth="1"/>
    <col min="4863" max="4863" width="40" style="230" bestFit="1" customWidth="1"/>
    <col min="4864" max="4864" width="28" style="230" bestFit="1" customWidth="1"/>
    <col min="4865" max="4865" width="13" style="230" bestFit="1" customWidth="1"/>
    <col min="4866" max="4866" width="14" style="230" bestFit="1" customWidth="1"/>
    <col min="4867" max="4867" width="13" style="230" bestFit="1" customWidth="1"/>
    <col min="4868" max="4868" width="30" style="230" bestFit="1" customWidth="1"/>
    <col min="4869" max="5116" width="9.140625" style="230"/>
    <col min="5117" max="5118" width="11" style="230" bestFit="1" customWidth="1"/>
    <col min="5119" max="5119" width="40" style="230" bestFit="1" customWidth="1"/>
    <col min="5120" max="5120" width="28" style="230" bestFit="1" customWidth="1"/>
    <col min="5121" max="5121" width="13" style="230" bestFit="1" customWidth="1"/>
    <col min="5122" max="5122" width="14" style="230" bestFit="1" customWidth="1"/>
    <col min="5123" max="5123" width="13" style="230" bestFit="1" customWidth="1"/>
    <col min="5124" max="5124" width="30" style="230" bestFit="1" customWidth="1"/>
    <col min="5125" max="5372" width="9.140625" style="230"/>
    <col min="5373" max="5374" width="11" style="230" bestFit="1" customWidth="1"/>
    <col min="5375" max="5375" width="40" style="230" bestFit="1" customWidth="1"/>
    <col min="5376" max="5376" width="28" style="230" bestFit="1" customWidth="1"/>
    <col min="5377" max="5377" width="13" style="230" bestFit="1" customWidth="1"/>
    <col min="5378" max="5378" width="14" style="230" bestFit="1" customWidth="1"/>
    <col min="5379" max="5379" width="13" style="230" bestFit="1" customWidth="1"/>
    <col min="5380" max="5380" width="30" style="230" bestFit="1" customWidth="1"/>
    <col min="5381" max="5628" width="9.140625" style="230"/>
    <col min="5629" max="5630" width="11" style="230" bestFit="1" customWidth="1"/>
    <col min="5631" max="5631" width="40" style="230" bestFit="1" customWidth="1"/>
    <col min="5632" max="5632" width="28" style="230" bestFit="1" customWidth="1"/>
    <col min="5633" max="5633" width="13" style="230" bestFit="1" customWidth="1"/>
    <col min="5634" max="5634" width="14" style="230" bestFit="1" customWidth="1"/>
    <col min="5635" max="5635" width="13" style="230" bestFit="1" customWidth="1"/>
    <col min="5636" max="5636" width="30" style="230" bestFit="1" customWidth="1"/>
    <col min="5637" max="5884" width="9.140625" style="230"/>
    <col min="5885" max="5886" width="11" style="230" bestFit="1" customWidth="1"/>
    <col min="5887" max="5887" width="40" style="230" bestFit="1" customWidth="1"/>
    <col min="5888" max="5888" width="28" style="230" bestFit="1" customWidth="1"/>
    <col min="5889" max="5889" width="13" style="230" bestFit="1" customWidth="1"/>
    <col min="5890" max="5890" width="14" style="230" bestFit="1" customWidth="1"/>
    <col min="5891" max="5891" width="13" style="230" bestFit="1" customWidth="1"/>
    <col min="5892" max="5892" width="30" style="230" bestFit="1" customWidth="1"/>
    <col min="5893" max="6140" width="9.140625" style="230"/>
    <col min="6141" max="6142" width="11" style="230" bestFit="1" customWidth="1"/>
    <col min="6143" max="6143" width="40" style="230" bestFit="1" customWidth="1"/>
    <col min="6144" max="6144" width="28" style="230" bestFit="1" customWidth="1"/>
    <col min="6145" max="6145" width="13" style="230" bestFit="1" customWidth="1"/>
    <col min="6146" max="6146" width="14" style="230" bestFit="1" customWidth="1"/>
    <col min="6147" max="6147" width="13" style="230" bestFit="1" customWidth="1"/>
    <col min="6148" max="6148" width="30" style="230" bestFit="1" customWidth="1"/>
    <col min="6149" max="6396" width="9.140625" style="230"/>
    <col min="6397" max="6398" width="11" style="230" bestFit="1" customWidth="1"/>
    <col min="6399" max="6399" width="40" style="230" bestFit="1" customWidth="1"/>
    <col min="6400" max="6400" width="28" style="230" bestFit="1" customWidth="1"/>
    <col min="6401" max="6401" width="13" style="230" bestFit="1" customWidth="1"/>
    <col min="6402" max="6402" width="14" style="230" bestFit="1" customWidth="1"/>
    <col min="6403" max="6403" width="13" style="230" bestFit="1" customWidth="1"/>
    <col min="6404" max="6404" width="30" style="230" bestFit="1" customWidth="1"/>
    <col min="6405" max="6652" width="9.140625" style="230"/>
    <col min="6653" max="6654" width="11" style="230" bestFit="1" customWidth="1"/>
    <col min="6655" max="6655" width="40" style="230" bestFit="1" customWidth="1"/>
    <col min="6656" max="6656" width="28" style="230" bestFit="1" customWidth="1"/>
    <col min="6657" max="6657" width="13" style="230" bestFit="1" customWidth="1"/>
    <col min="6658" max="6658" width="14" style="230" bestFit="1" customWidth="1"/>
    <col min="6659" max="6659" width="13" style="230" bestFit="1" customWidth="1"/>
    <col min="6660" max="6660" width="30" style="230" bestFit="1" customWidth="1"/>
    <col min="6661" max="6908" width="9.140625" style="230"/>
    <col min="6909" max="6910" width="11" style="230" bestFit="1" customWidth="1"/>
    <col min="6911" max="6911" width="40" style="230" bestFit="1" customWidth="1"/>
    <col min="6912" max="6912" width="28" style="230" bestFit="1" customWidth="1"/>
    <col min="6913" max="6913" width="13" style="230" bestFit="1" customWidth="1"/>
    <col min="6914" max="6914" width="14" style="230" bestFit="1" customWidth="1"/>
    <col min="6915" max="6915" width="13" style="230" bestFit="1" customWidth="1"/>
    <col min="6916" max="6916" width="30" style="230" bestFit="1" customWidth="1"/>
    <col min="6917" max="7164" width="9.140625" style="230"/>
    <col min="7165" max="7166" width="11" style="230" bestFit="1" customWidth="1"/>
    <col min="7167" max="7167" width="40" style="230" bestFit="1" customWidth="1"/>
    <col min="7168" max="7168" width="28" style="230" bestFit="1" customWidth="1"/>
    <col min="7169" max="7169" width="13" style="230" bestFit="1" customWidth="1"/>
    <col min="7170" max="7170" width="14" style="230" bestFit="1" customWidth="1"/>
    <col min="7171" max="7171" width="13" style="230" bestFit="1" customWidth="1"/>
    <col min="7172" max="7172" width="30" style="230" bestFit="1" customWidth="1"/>
    <col min="7173" max="7420" width="9.140625" style="230"/>
    <col min="7421" max="7422" width="11" style="230" bestFit="1" customWidth="1"/>
    <col min="7423" max="7423" width="40" style="230" bestFit="1" customWidth="1"/>
    <col min="7424" max="7424" width="28" style="230" bestFit="1" customWidth="1"/>
    <col min="7425" max="7425" width="13" style="230" bestFit="1" customWidth="1"/>
    <col min="7426" max="7426" width="14" style="230" bestFit="1" customWidth="1"/>
    <col min="7427" max="7427" width="13" style="230" bestFit="1" customWidth="1"/>
    <col min="7428" max="7428" width="30" style="230" bestFit="1" customWidth="1"/>
    <col min="7429" max="7676" width="9.140625" style="230"/>
    <col min="7677" max="7678" width="11" style="230" bestFit="1" customWidth="1"/>
    <col min="7679" max="7679" width="40" style="230" bestFit="1" customWidth="1"/>
    <col min="7680" max="7680" width="28" style="230" bestFit="1" customWidth="1"/>
    <col min="7681" max="7681" width="13" style="230" bestFit="1" customWidth="1"/>
    <col min="7682" max="7682" width="14" style="230" bestFit="1" customWidth="1"/>
    <col min="7683" max="7683" width="13" style="230" bestFit="1" customWidth="1"/>
    <col min="7684" max="7684" width="30" style="230" bestFit="1" customWidth="1"/>
    <col min="7685" max="7932" width="9.140625" style="230"/>
    <col min="7933" max="7934" width="11" style="230" bestFit="1" customWidth="1"/>
    <col min="7935" max="7935" width="40" style="230" bestFit="1" customWidth="1"/>
    <col min="7936" max="7936" width="28" style="230" bestFit="1" customWidth="1"/>
    <col min="7937" max="7937" width="13" style="230" bestFit="1" customWidth="1"/>
    <col min="7938" max="7938" width="14" style="230" bestFit="1" customWidth="1"/>
    <col min="7939" max="7939" width="13" style="230" bestFit="1" customWidth="1"/>
    <col min="7940" max="7940" width="30" style="230" bestFit="1" customWidth="1"/>
    <col min="7941" max="8188" width="9.140625" style="230"/>
    <col min="8189" max="8190" width="11" style="230" bestFit="1" customWidth="1"/>
    <col min="8191" max="8191" width="40" style="230" bestFit="1" customWidth="1"/>
    <col min="8192" max="8192" width="28" style="230" bestFit="1" customWidth="1"/>
    <col min="8193" max="8193" width="13" style="230" bestFit="1" customWidth="1"/>
    <col min="8194" max="8194" width="14" style="230" bestFit="1" customWidth="1"/>
    <col min="8195" max="8195" width="13" style="230" bestFit="1" customWidth="1"/>
    <col min="8196" max="8196" width="30" style="230" bestFit="1" customWidth="1"/>
    <col min="8197" max="8444" width="9.140625" style="230"/>
    <col min="8445" max="8446" width="11" style="230" bestFit="1" customWidth="1"/>
    <col min="8447" max="8447" width="40" style="230" bestFit="1" customWidth="1"/>
    <col min="8448" max="8448" width="28" style="230" bestFit="1" customWidth="1"/>
    <col min="8449" max="8449" width="13" style="230" bestFit="1" customWidth="1"/>
    <col min="8450" max="8450" width="14" style="230" bestFit="1" customWidth="1"/>
    <col min="8451" max="8451" width="13" style="230" bestFit="1" customWidth="1"/>
    <col min="8452" max="8452" width="30" style="230" bestFit="1" customWidth="1"/>
    <col min="8453" max="8700" width="9.140625" style="230"/>
    <col min="8701" max="8702" width="11" style="230" bestFit="1" customWidth="1"/>
    <col min="8703" max="8703" width="40" style="230" bestFit="1" customWidth="1"/>
    <col min="8704" max="8704" width="28" style="230" bestFit="1" customWidth="1"/>
    <col min="8705" max="8705" width="13" style="230" bestFit="1" customWidth="1"/>
    <col min="8706" max="8706" width="14" style="230" bestFit="1" customWidth="1"/>
    <col min="8707" max="8707" width="13" style="230" bestFit="1" customWidth="1"/>
    <col min="8708" max="8708" width="30" style="230" bestFit="1" customWidth="1"/>
    <col min="8709" max="8956" width="9.140625" style="230"/>
    <col min="8957" max="8958" width="11" style="230" bestFit="1" customWidth="1"/>
    <col min="8959" max="8959" width="40" style="230" bestFit="1" customWidth="1"/>
    <col min="8960" max="8960" width="28" style="230" bestFit="1" customWidth="1"/>
    <col min="8961" max="8961" width="13" style="230" bestFit="1" customWidth="1"/>
    <col min="8962" max="8962" width="14" style="230" bestFit="1" customWidth="1"/>
    <col min="8963" max="8963" width="13" style="230" bestFit="1" customWidth="1"/>
    <col min="8964" max="8964" width="30" style="230" bestFit="1" customWidth="1"/>
    <col min="8965" max="9212" width="9.140625" style="230"/>
    <col min="9213" max="9214" width="11" style="230" bestFit="1" customWidth="1"/>
    <col min="9215" max="9215" width="40" style="230" bestFit="1" customWidth="1"/>
    <col min="9216" max="9216" width="28" style="230" bestFit="1" customWidth="1"/>
    <col min="9217" max="9217" width="13" style="230" bestFit="1" customWidth="1"/>
    <col min="9218" max="9218" width="14" style="230" bestFit="1" customWidth="1"/>
    <col min="9219" max="9219" width="13" style="230" bestFit="1" customWidth="1"/>
    <col min="9220" max="9220" width="30" style="230" bestFit="1" customWidth="1"/>
    <col min="9221" max="9468" width="9.140625" style="230"/>
    <col min="9469" max="9470" width="11" style="230" bestFit="1" customWidth="1"/>
    <col min="9471" max="9471" width="40" style="230" bestFit="1" customWidth="1"/>
    <col min="9472" max="9472" width="28" style="230" bestFit="1" customWidth="1"/>
    <col min="9473" max="9473" width="13" style="230" bestFit="1" customWidth="1"/>
    <col min="9474" max="9474" width="14" style="230" bestFit="1" customWidth="1"/>
    <col min="9475" max="9475" width="13" style="230" bestFit="1" customWidth="1"/>
    <col min="9476" max="9476" width="30" style="230" bestFit="1" customWidth="1"/>
    <col min="9477" max="9724" width="9.140625" style="230"/>
    <col min="9725" max="9726" width="11" style="230" bestFit="1" customWidth="1"/>
    <col min="9727" max="9727" width="40" style="230" bestFit="1" customWidth="1"/>
    <col min="9728" max="9728" width="28" style="230" bestFit="1" customWidth="1"/>
    <col min="9729" max="9729" width="13" style="230" bestFit="1" customWidth="1"/>
    <col min="9730" max="9730" width="14" style="230" bestFit="1" customWidth="1"/>
    <col min="9731" max="9731" width="13" style="230" bestFit="1" customWidth="1"/>
    <col min="9732" max="9732" width="30" style="230" bestFit="1" customWidth="1"/>
    <col min="9733" max="9980" width="9.140625" style="230"/>
    <col min="9981" max="9982" width="11" style="230" bestFit="1" customWidth="1"/>
    <col min="9983" max="9983" width="40" style="230" bestFit="1" customWidth="1"/>
    <col min="9984" max="9984" width="28" style="230" bestFit="1" customWidth="1"/>
    <col min="9985" max="9985" width="13" style="230" bestFit="1" customWidth="1"/>
    <col min="9986" max="9986" width="14" style="230" bestFit="1" customWidth="1"/>
    <col min="9987" max="9987" width="13" style="230" bestFit="1" customWidth="1"/>
    <col min="9988" max="9988" width="30" style="230" bestFit="1" customWidth="1"/>
    <col min="9989" max="10236" width="9.140625" style="230"/>
    <col min="10237" max="10238" width="11" style="230" bestFit="1" customWidth="1"/>
    <col min="10239" max="10239" width="40" style="230" bestFit="1" customWidth="1"/>
    <col min="10240" max="10240" width="28" style="230" bestFit="1" customWidth="1"/>
    <col min="10241" max="10241" width="13" style="230" bestFit="1" customWidth="1"/>
    <col min="10242" max="10242" width="14" style="230" bestFit="1" customWidth="1"/>
    <col min="10243" max="10243" width="13" style="230" bestFit="1" customWidth="1"/>
    <col min="10244" max="10244" width="30" style="230" bestFit="1" customWidth="1"/>
    <col min="10245" max="10492" width="9.140625" style="230"/>
    <col min="10493" max="10494" width="11" style="230" bestFit="1" customWidth="1"/>
    <col min="10495" max="10495" width="40" style="230" bestFit="1" customWidth="1"/>
    <col min="10496" max="10496" width="28" style="230" bestFit="1" customWidth="1"/>
    <col min="10497" max="10497" width="13" style="230" bestFit="1" customWidth="1"/>
    <col min="10498" max="10498" width="14" style="230" bestFit="1" customWidth="1"/>
    <col min="10499" max="10499" width="13" style="230" bestFit="1" customWidth="1"/>
    <col min="10500" max="10500" width="30" style="230" bestFit="1" customWidth="1"/>
    <col min="10501" max="10748" width="9.140625" style="230"/>
    <col min="10749" max="10750" width="11" style="230" bestFit="1" customWidth="1"/>
    <col min="10751" max="10751" width="40" style="230" bestFit="1" customWidth="1"/>
    <col min="10752" max="10752" width="28" style="230" bestFit="1" customWidth="1"/>
    <col min="10753" max="10753" width="13" style="230" bestFit="1" customWidth="1"/>
    <col min="10754" max="10754" width="14" style="230" bestFit="1" customWidth="1"/>
    <col min="10755" max="10755" width="13" style="230" bestFit="1" customWidth="1"/>
    <col min="10756" max="10756" width="30" style="230" bestFit="1" customWidth="1"/>
    <col min="10757" max="11004" width="9.140625" style="230"/>
    <col min="11005" max="11006" width="11" style="230" bestFit="1" customWidth="1"/>
    <col min="11007" max="11007" width="40" style="230" bestFit="1" customWidth="1"/>
    <col min="11008" max="11008" width="28" style="230" bestFit="1" customWidth="1"/>
    <col min="11009" max="11009" width="13" style="230" bestFit="1" customWidth="1"/>
    <col min="11010" max="11010" width="14" style="230" bestFit="1" customWidth="1"/>
    <col min="11011" max="11011" width="13" style="230" bestFit="1" customWidth="1"/>
    <col min="11012" max="11012" width="30" style="230" bestFit="1" customWidth="1"/>
    <col min="11013" max="11260" width="9.140625" style="230"/>
    <col min="11261" max="11262" width="11" style="230" bestFit="1" customWidth="1"/>
    <col min="11263" max="11263" width="40" style="230" bestFit="1" customWidth="1"/>
    <col min="11264" max="11264" width="28" style="230" bestFit="1" customWidth="1"/>
    <col min="11265" max="11265" width="13" style="230" bestFit="1" customWidth="1"/>
    <col min="11266" max="11266" width="14" style="230" bestFit="1" customWidth="1"/>
    <col min="11267" max="11267" width="13" style="230" bestFit="1" customWidth="1"/>
    <col min="11268" max="11268" width="30" style="230" bestFit="1" customWidth="1"/>
    <col min="11269" max="11516" width="9.140625" style="230"/>
    <col min="11517" max="11518" width="11" style="230" bestFit="1" customWidth="1"/>
    <col min="11519" max="11519" width="40" style="230" bestFit="1" customWidth="1"/>
    <col min="11520" max="11520" width="28" style="230" bestFit="1" customWidth="1"/>
    <col min="11521" max="11521" width="13" style="230" bestFit="1" customWidth="1"/>
    <col min="11522" max="11522" width="14" style="230" bestFit="1" customWidth="1"/>
    <col min="11523" max="11523" width="13" style="230" bestFit="1" customWidth="1"/>
    <col min="11524" max="11524" width="30" style="230" bestFit="1" customWidth="1"/>
    <col min="11525" max="11772" width="9.140625" style="230"/>
    <col min="11773" max="11774" width="11" style="230" bestFit="1" customWidth="1"/>
    <col min="11775" max="11775" width="40" style="230" bestFit="1" customWidth="1"/>
    <col min="11776" max="11776" width="28" style="230" bestFit="1" customWidth="1"/>
    <col min="11777" max="11777" width="13" style="230" bestFit="1" customWidth="1"/>
    <col min="11778" max="11778" width="14" style="230" bestFit="1" customWidth="1"/>
    <col min="11779" max="11779" width="13" style="230" bestFit="1" customWidth="1"/>
    <col min="11780" max="11780" width="30" style="230" bestFit="1" customWidth="1"/>
    <col min="11781" max="12028" width="9.140625" style="230"/>
    <col min="12029" max="12030" width="11" style="230" bestFit="1" customWidth="1"/>
    <col min="12031" max="12031" width="40" style="230" bestFit="1" customWidth="1"/>
    <col min="12032" max="12032" width="28" style="230" bestFit="1" customWidth="1"/>
    <col min="12033" max="12033" width="13" style="230" bestFit="1" customWidth="1"/>
    <col min="12034" max="12034" width="14" style="230" bestFit="1" customWidth="1"/>
    <col min="12035" max="12035" width="13" style="230" bestFit="1" customWidth="1"/>
    <col min="12036" max="12036" width="30" style="230" bestFit="1" customWidth="1"/>
    <col min="12037" max="12284" width="9.140625" style="230"/>
    <col min="12285" max="12286" width="11" style="230" bestFit="1" customWidth="1"/>
    <col min="12287" max="12287" width="40" style="230" bestFit="1" customWidth="1"/>
    <col min="12288" max="12288" width="28" style="230" bestFit="1" customWidth="1"/>
    <col min="12289" max="12289" width="13" style="230" bestFit="1" customWidth="1"/>
    <col min="12290" max="12290" width="14" style="230" bestFit="1" customWidth="1"/>
    <col min="12291" max="12291" width="13" style="230" bestFit="1" customWidth="1"/>
    <col min="12292" max="12292" width="30" style="230" bestFit="1" customWidth="1"/>
    <col min="12293" max="12540" width="9.140625" style="230"/>
    <col min="12541" max="12542" width="11" style="230" bestFit="1" customWidth="1"/>
    <col min="12543" max="12543" width="40" style="230" bestFit="1" customWidth="1"/>
    <col min="12544" max="12544" width="28" style="230" bestFit="1" customWidth="1"/>
    <col min="12545" max="12545" width="13" style="230" bestFit="1" customWidth="1"/>
    <col min="12546" max="12546" width="14" style="230" bestFit="1" customWidth="1"/>
    <col min="12547" max="12547" width="13" style="230" bestFit="1" customWidth="1"/>
    <col min="12548" max="12548" width="30" style="230" bestFit="1" customWidth="1"/>
    <col min="12549" max="12796" width="9.140625" style="230"/>
    <col min="12797" max="12798" width="11" style="230" bestFit="1" customWidth="1"/>
    <col min="12799" max="12799" width="40" style="230" bestFit="1" customWidth="1"/>
    <col min="12800" max="12800" width="28" style="230" bestFit="1" customWidth="1"/>
    <col min="12801" max="12801" width="13" style="230" bestFit="1" customWidth="1"/>
    <col min="12802" max="12802" width="14" style="230" bestFit="1" customWidth="1"/>
    <col min="12803" max="12803" width="13" style="230" bestFit="1" customWidth="1"/>
    <col min="12804" max="12804" width="30" style="230" bestFit="1" customWidth="1"/>
    <col min="12805" max="13052" width="9.140625" style="230"/>
    <col min="13053" max="13054" width="11" style="230" bestFit="1" customWidth="1"/>
    <col min="13055" max="13055" width="40" style="230" bestFit="1" customWidth="1"/>
    <col min="13056" max="13056" width="28" style="230" bestFit="1" customWidth="1"/>
    <col min="13057" max="13057" width="13" style="230" bestFit="1" customWidth="1"/>
    <col min="13058" max="13058" width="14" style="230" bestFit="1" customWidth="1"/>
    <col min="13059" max="13059" width="13" style="230" bestFit="1" customWidth="1"/>
    <col min="13060" max="13060" width="30" style="230" bestFit="1" customWidth="1"/>
    <col min="13061" max="13308" width="9.140625" style="230"/>
    <col min="13309" max="13310" width="11" style="230" bestFit="1" customWidth="1"/>
    <col min="13311" max="13311" width="40" style="230" bestFit="1" customWidth="1"/>
    <col min="13312" max="13312" width="28" style="230" bestFit="1" customWidth="1"/>
    <col min="13313" max="13313" width="13" style="230" bestFit="1" customWidth="1"/>
    <col min="13314" max="13314" width="14" style="230" bestFit="1" customWidth="1"/>
    <col min="13315" max="13315" width="13" style="230" bestFit="1" customWidth="1"/>
    <col min="13316" max="13316" width="30" style="230" bestFit="1" customWidth="1"/>
    <col min="13317" max="13564" width="9.140625" style="230"/>
    <col min="13565" max="13566" width="11" style="230" bestFit="1" customWidth="1"/>
    <col min="13567" max="13567" width="40" style="230" bestFit="1" customWidth="1"/>
    <col min="13568" max="13568" width="28" style="230" bestFit="1" customWidth="1"/>
    <col min="13569" max="13569" width="13" style="230" bestFit="1" customWidth="1"/>
    <col min="13570" max="13570" width="14" style="230" bestFit="1" customWidth="1"/>
    <col min="13571" max="13571" width="13" style="230" bestFit="1" customWidth="1"/>
    <col min="13572" max="13572" width="30" style="230" bestFit="1" customWidth="1"/>
    <col min="13573" max="13820" width="9.140625" style="230"/>
    <col min="13821" max="13822" width="11" style="230" bestFit="1" customWidth="1"/>
    <col min="13823" max="13823" width="40" style="230" bestFit="1" customWidth="1"/>
    <col min="13824" max="13824" width="28" style="230" bestFit="1" customWidth="1"/>
    <col min="13825" max="13825" width="13" style="230" bestFit="1" customWidth="1"/>
    <col min="13826" max="13826" width="14" style="230" bestFit="1" customWidth="1"/>
    <col min="13827" max="13827" width="13" style="230" bestFit="1" customWidth="1"/>
    <col min="13828" max="13828" width="30" style="230" bestFit="1" customWidth="1"/>
    <col min="13829" max="14076" width="9.140625" style="230"/>
    <col min="14077" max="14078" width="11" style="230" bestFit="1" customWidth="1"/>
    <col min="14079" max="14079" width="40" style="230" bestFit="1" customWidth="1"/>
    <col min="14080" max="14080" width="28" style="230" bestFit="1" customWidth="1"/>
    <col min="14081" max="14081" width="13" style="230" bestFit="1" customWidth="1"/>
    <col min="14082" max="14082" width="14" style="230" bestFit="1" customWidth="1"/>
    <col min="14083" max="14083" width="13" style="230" bestFit="1" customWidth="1"/>
    <col min="14084" max="14084" width="30" style="230" bestFit="1" customWidth="1"/>
    <col min="14085" max="14332" width="9.140625" style="230"/>
    <col min="14333" max="14334" width="11" style="230" bestFit="1" customWidth="1"/>
    <col min="14335" max="14335" width="40" style="230" bestFit="1" customWidth="1"/>
    <col min="14336" max="14336" width="28" style="230" bestFit="1" customWidth="1"/>
    <col min="14337" max="14337" width="13" style="230" bestFit="1" customWidth="1"/>
    <col min="14338" max="14338" width="14" style="230" bestFit="1" customWidth="1"/>
    <col min="14339" max="14339" width="13" style="230" bestFit="1" customWidth="1"/>
    <col min="14340" max="14340" width="30" style="230" bestFit="1" customWidth="1"/>
    <col min="14341" max="14588" width="9.140625" style="230"/>
    <col min="14589" max="14590" width="11" style="230" bestFit="1" customWidth="1"/>
    <col min="14591" max="14591" width="40" style="230" bestFit="1" customWidth="1"/>
    <col min="14592" max="14592" width="28" style="230" bestFit="1" customWidth="1"/>
    <col min="14593" max="14593" width="13" style="230" bestFit="1" customWidth="1"/>
    <col min="14594" max="14594" width="14" style="230" bestFit="1" customWidth="1"/>
    <col min="14595" max="14595" width="13" style="230" bestFit="1" customWidth="1"/>
    <col min="14596" max="14596" width="30" style="230" bestFit="1" customWidth="1"/>
    <col min="14597" max="14844" width="9.140625" style="230"/>
    <col min="14845" max="14846" width="11" style="230" bestFit="1" customWidth="1"/>
    <col min="14847" max="14847" width="40" style="230" bestFit="1" customWidth="1"/>
    <col min="14848" max="14848" width="28" style="230" bestFit="1" customWidth="1"/>
    <col min="14849" max="14849" width="13" style="230" bestFit="1" customWidth="1"/>
    <col min="14850" max="14850" width="14" style="230" bestFit="1" customWidth="1"/>
    <col min="14851" max="14851" width="13" style="230" bestFit="1" customWidth="1"/>
    <col min="14852" max="14852" width="30" style="230" bestFit="1" customWidth="1"/>
    <col min="14853" max="15100" width="9.140625" style="230"/>
    <col min="15101" max="15102" width="11" style="230" bestFit="1" customWidth="1"/>
    <col min="15103" max="15103" width="40" style="230" bestFit="1" customWidth="1"/>
    <col min="15104" max="15104" width="28" style="230" bestFit="1" customWidth="1"/>
    <col min="15105" max="15105" width="13" style="230" bestFit="1" customWidth="1"/>
    <col min="15106" max="15106" width="14" style="230" bestFit="1" customWidth="1"/>
    <col min="15107" max="15107" width="13" style="230" bestFit="1" customWidth="1"/>
    <col min="15108" max="15108" width="30" style="230" bestFit="1" customWidth="1"/>
    <col min="15109" max="15356" width="9.140625" style="230"/>
    <col min="15357" max="15358" width="11" style="230" bestFit="1" customWidth="1"/>
    <col min="15359" max="15359" width="40" style="230" bestFit="1" customWidth="1"/>
    <col min="15360" max="15360" width="28" style="230" bestFit="1" customWidth="1"/>
    <col min="15361" max="15361" width="13" style="230" bestFit="1" customWidth="1"/>
    <col min="15362" max="15362" width="14" style="230" bestFit="1" customWidth="1"/>
    <col min="15363" max="15363" width="13" style="230" bestFit="1" customWidth="1"/>
    <col min="15364" max="15364" width="30" style="230" bestFit="1" customWidth="1"/>
    <col min="15365" max="15612" width="9.140625" style="230"/>
    <col min="15613" max="15614" width="11" style="230" bestFit="1" customWidth="1"/>
    <col min="15615" max="15615" width="40" style="230" bestFit="1" customWidth="1"/>
    <col min="15616" max="15616" width="28" style="230" bestFit="1" customWidth="1"/>
    <col min="15617" max="15617" width="13" style="230" bestFit="1" customWidth="1"/>
    <col min="15618" max="15618" width="14" style="230" bestFit="1" customWidth="1"/>
    <col min="15619" max="15619" width="13" style="230" bestFit="1" customWidth="1"/>
    <col min="15620" max="15620" width="30" style="230" bestFit="1" customWidth="1"/>
    <col min="15621" max="15868" width="9.140625" style="230"/>
    <col min="15869" max="15870" width="11" style="230" bestFit="1" customWidth="1"/>
    <col min="15871" max="15871" width="40" style="230" bestFit="1" customWidth="1"/>
    <col min="15872" max="15872" width="28" style="230" bestFit="1" customWidth="1"/>
    <col min="15873" max="15873" width="13" style="230" bestFit="1" customWidth="1"/>
    <col min="15874" max="15874" width="14" style="230" bestFit="1" customWidth="1"/>
    <col min="15875" max="15875" width="13" style="230" bestFit="1" customWidth="1"/>
    <col min="15876" max="15876" width="30" style="230" bestFit="1" customWidth="1"/>
    <col min="15877" max="16124" width="9.140625" style="230"/>
    <col min="16125" max="16126" width="11" style="230" bestFit="1" customWidth="1"/>
    <col min="16127" max="16127" width="40" style="230" bestFit="1" customWidth="1"/>
    <col min="16128" max="16128" width="28" style="230" bestFit="1" customWidth="1"/>
    <col min="16129" max="16129" width="13" style="230" bestFit="1" customWidth="1"/>
    <col min="16130" max="16130" width="14" style="230" bestFit="1" customWidth="1"/>
    <col min="16131" max="16131" width="13" style="230" bestFit="1" customWidth="1"/>
    <col min="16132" max="16132" width="30" style="230" bestFit="1" customWidth="1"/>
    <col min="16133" max="16384" width="9.140625" style="230"/>
  </cols>
  <sheetData>
    <row r="2" spans="1:7" x14ac:dyDescent="0.2">
      <c r="D2" s="234">
        <f>SUBTOTAL(9,D3:D54)</f>
        <v>35678021.129999995</v>
      </c>
    </row>
    <row r="3" spans="1:7" x14ac:dyDescent="0.2">
      <c r="A3" s="232" t="s">
        <v>150</v>
      </c>
      <c r="B3" s="232" t="s">
        <v>151</v>
      </c>
      <c r="C3" s="233" t="s">
        <v>152</v>
      </c>
      <c r="D3" s="231" t="s">
        <v>618</v>
      </c>
      <c r="E3" s="74" t="s">
        <v>238</v>
      </c>
      <c r="F3" s="74" t="s">
        <v>122</v>
      </c>
      <c r="G3" s="74" t="s">
        <v>239</v>
      </c>
    </row>
    <row r="4" spans="1:7" hidden="1" x14ac:dyDescent="0.2">
      <c r="A4" s="281" t="s">
        <v>555</v>
      </c>
      <c r="B4" s="281" t="s">
        <v>391</v>
      </c>
      <c r="C4" s="284" t="s">
        <v>155</v>
      </c>
      <c r="D4" s="285">
        <v>333.78</v>
      </c>
      <c r="E4" s="68" t="s">
        <v>925</v>
      </c>
      <c r="F4" s="68" t="s">
        <v>387</v>
      </c>
      <c r="G4" s="67"/>
    </row>
    <row r="5" spans="1:7" hidden="1" x14ac:dyDescent="0.2">
      <c r="A5" s="281" t="s">
        <v>556</v>
      </c>
      <c r="B5" s="281" t="s">
        <v>392</v>
      </c>
      <c r="C5" s="284" t="s">
        <v>155</v>
      </c>
      <c r="D5" s="285">
        <v>333.78</v>
      </c>
      <c r="E5" s="68" t="s">
        <v>907</v>
      </c>
      <c r="F5" s="68" t="s">
        <v>890</v>
      </c>
      <c r="G5" s="67"/>
    </row>
    <row r="6" spans="1:7" hidden="1" x14ac:dyDescent="0.2">
      <c r="A6" s="281" t="s">
        <v>557</v>
      </c>
      <c r="B6" s="281" t="s">
        <v>506</v>
      </c>
      <c r="C6" s="284" t="s">
        <v>155</v>
      </c>
      <c r="D6" s="285">
        <v>19.579999999999998</v>
      </c>
      <c r="E6" s="68" t="s">
        <v>907</v>
      </c>
      <c r="F6" s="68" t="s">
        <v>505</v>
      </c>
      <c r="G6" s="67"/>
    </row>
    <row r="7" spans="1:7" hidden="1" x14ac:dyDescent="0.2">
      <c r="A7" s="281" t="s">
        <v>558</v>
      </c>
      <c r="B7" s="281" t="s">
        <v>507</v>
      </c>
      <c r="C7" s="284" t="s">
        <v>155</v>
      </c>
      <c r="D7" s="285">
        <v>176</v>
      </c>
      <c r="E7" s="68" t="s">
        <v>907</v>
      </c>
      <c r="F7" s="68" t="s">
        <v>505</v>
      </c>
      <c r="G7" s="67"/>
    </row>
    <row r="8" spans="1:7" hidden="1" x14ac:dyDescent="0.2">
      <c r="A8" s="281" t="s">
        <v>559</v>
      </c>
      <c r="B8" s="281" t="s">
        <v>508</v>
      </c>
      <c r="C8" s="284" t="s">
        <v>155</v>
      </c>
      <c r="D8" s="285">
        <v>88</v>
      </c>
      <c r="E8" s="68" t="s">
        <v>907</v>
      </c>
      <c r="F8" s="68" t="s">
        <v>505</v>
      </c>
      <c r="G8" s="67"/>
    </row>
    <row r="9" spans="1:7" hidden="1" x14ac:dyDescent="0.2">
      <c r="A9" s="281" t="s">
        <v>560</v>
      </c>
      <c r="B9" s="281" t="s">
        <v>509</v>
      </c>
      <c r="C9" s="284" t="s">
        <v>155</v>
      </c>
      <c r="D9" s="285">
        <v>20498.900000000001</v>
      </c>
      <c r="E9" s="68" t="s">
        <v>907</v>
      </c>
      <c r="F9" s="68" t="s">
        <v>505</v>
      </c>
      <c r="G9" s="67"/>
    </row>
    <row r="10" spans="1:7" hidden="1" x14ac:dyDescent="0.2">
      <c r="A10" s="281" t="s">
        <v>561</v>
      </c>
      <c r="B10" s="281" t="s">
        <v>510</v>
      </c>
      <c r="C10" s="284" t="s">
        <v>155</v>
      </c>
      <c r="D10" s="285">
        <v>229</v>
      </c>
      <c r="E10" s="68" t="s">
        <v>907</v>
      </c>
      <c r="F10" s="68" t="s">
        <v>505</v>
      </c>
      <c r="G10" s="67"/>
    </row>
    <row r="11" spans="1:7" hidden="1" x14ac:dyDescent="0.2">
      <c r="A11" s="281" t="s">
        <v>562</v>
      </c>
      <c r="B11" s="281" t="s">
        <v>511</v>
      </c>
      <c r="C11" s="284" t="s">
        <v>155</v>
      </c>
      <c r="D11" s="285">
        <v>180</v>
      </c>
      <c r="E11" s="68" t="s">
        <v>907</v>
      </c>
      <c r="F11" s="68" t="s">
        <v>505</v>
      </c>
      <c r="G11" s="67"/>
    </row>
    <row r="12" spans="1:7" hidden="1" x14ac:dyDescent="0.2">
      <c r="A12" s="281" t="s">
        <v>563</v>
      </c>
      <c r="B12" s="281" t="s">
        <v>512</v>
      </c>
      <c r="C12" s="284" t="s">
        <v>155</v>
      </c>
      <c r="D12" s="285">
        <v>9698.14</v>
      </c>
      <c r="E12" s="68" t="s">
        <v>907</v>
      </c>
      <c r="F12" s="68" t="s">
        <v>505</v>
      </c>
      <c r="G12" s="67"/>
    </row>
    <row r="13" spans="1:7" hidden="1" x14ac:dyDescent="0.2">
      <c r="A13" s="281" t="s">
        <v>564</v>
      </c>
      <c r="B13" s="281" t="s">
        <v>513</v>
      </c>
      <c r="C13" s="284" t="s">
        <v>155</v>
      </c>
      <c r="D13" s="285">
        <v>1763.47</v>
      </c>
      <c r="E13" s="68" t="s">
        <v>907</v>
      </c>
      <c r="F13" s="68" t="s">
        <v>505</v>
      </c>
      <c r="G13" s="67"/>
    </row>
    <row r="14" spans="1:7" hidden="1" x14ac:dyDescent="0.2">
      <c r="A14" s="281" t="s">
        <v>565</v>
      </c>
      <c r="B14" s="281" t="s">
        <v>514</v>
      </c>
      <c r="C14" s="284" t="s">
        <v>155</v>
      </c>
      <c r="D14" s="285">
        <v>46332.19</v>
      </c>
      <c r="E14" s="68" t="s">
        <v>907</v>
      </c>
      <c r="F14" s="68" t="s">
        <v>505</v>
      </c>
      <c r="G14" s="67"/>
    </row>
    <row r="15" spans="1:7" hidden="1" x14ac:dyDescent="0.2">
      <c r="A15" s="281" t="s">
        <v>566</v>
      </c>
      <c r="B15" s="281" t="s">
        <v>515</v>
      </c>
      <c r="C15" s="284" t="s">
        <v>155</v>
      </c>
      <c r="D15" s="285">
        <v>302.39</v>
      </c>
      <c r="E15" s="68" t="s">
        <v>907</v>
      </c>
      <c r="F15" s="68" t="s">
        <v>505</v>
      </c>
      <c r="G15" s="67"/>
    </row>
    <row r="16" spans="1:7" hidden="1" x14ac:dyDescent="0.2">
      <c r="A16" s="281" t="s">
        <v>567</v>
      </c>
      <c r="B16" s="281" t="s">
        <v>516</v>
      </c>
      <c r="C16" s="284" t="s">
        <v>155</v>
      </c>
      <c r="D16" s="285">
        <v>380753.77</v>
      </c>
      <c r="E16" s="68" t="s">
        <v>907</v>
      </c>
      <c r="F16" s="68" t="s">
        <v>505</v>
      </c>
      <c r="G16" s="67"/>
    </row>
    <row r="17" spans="1:7" hidden="1" x14ac:dyDescent="0.2">
      <c r="A17" s="281" t="s">
        <v>568</v>
      </c>
      <c r="B17" s="281" t="s">
        <v>519</v>
      </c>
      <c r="C17" s="284" t="s">
        <v>155</v>
      </c>
      <c r="D17" s="285">
        <v>745</v>
      </c>
      <c r="E17" s="68" t="s">
        <v>907</v>
      </c>
      <c r="F17" s="68" t="s">
        <v>518</v>
      </c>
      <c r="G17" s="67"/>
    </row>
    <row r="18" spans="1:7" hidden="1" x14ac:dyDescent="0.2">
      <c r="A18" s="281" t="s">
        <v>569</v>
      </c>
      <c r="B18" s="281" t="s">
        <v>520</v>
      </c>
      <c r="C18" s="284" t="s">
        <v>155</v>
      </c>
      <c r="D18" s="285">
        <v>84</v>
      </c>
      <c r="E18" s="68" t="s">
        <v>907</v>
      </c>
      <c r="F18" s="68" t="s">
        <v>518</v>
      </c>
      <c r="G18" s="67"/>
    </row>
    <row r="19" spans="1:7" hidden="1" x14ac:dyDescent="0.2">
      <c r="A19" s="281" t="s">
        <v>570</v>
      </c>
      <c r="B19" s="281" t="s">
        <v>521</v>
      </c>
      <c r="C19" s="284" t="s">
        <v>155</v>
      </c>
      <c r="D19" s="285">
        <v>8637925.8800000008</v>
      </c>
      <c r="E19" s="68" t="s">
        <v>907</v>
      </c>
      <c r="F19" s="68" t="s">
        <v>518</v>
      </c>
      <c r="G19" s="67"/>
    </row>
    <row r="20" spans="1:7" hidden="1" x14ac:dyDescent="0.2">
      <c r="A20" s="281" t="s">
        <v>571</v>
      </c>
      <c r="B20" s="281" t="s">
        <v>522</v>
      </c>
      <c r="C20" s="284" t="s">
        <v>155</v>
      </c>
      <c r="D20" s="285">
        <v>4279.24</v>
      </c>
      <c r="E20" s="68" t="s">
        <v>907</v>
      </c>
      <c r="F20" s="68" t="s">
        <v>518</v>
      </c>
      <c r="G20" s="67"/>
    </row>
    <row r="21" spans="1:7" hidden="1" x14ac:dyDescent="0.2">
      <c r="A21" s="281" t="s">
        <v>572</v>
      </c>
      <c r="B21" s="281" t="s">
        <v>523</v>
      </c>
      <c r="C21" s="284" t="s">
        <v>155</v>
      </c>
      <c r="D21" s="285">
        <v>3446798.12</v>
      </c>
      <c r="E21" s="68" t="s">
        <v>907</v>
      </c>
      <c r="F21" s="68" t="s">
        <v>518</v>
      </c>
      <c r="G21" s="67"/>
    </row>
    <row r="22" spans="1:7" hidden="1" x14ac:dyDescent="0.2">
      <c r="A22" s="281" t="s">
        <v>573</v>
      </c>
      <c r="B22" s="281" t="s">
        <v>524</v>
      </c>
      <c r="C22" s="284" t="s">
        <v>155</v>
      </c>
      <c r="D22" s="285">
        <v>100.68</v>
      </c>
      <c r="E22" s="68" t="s">
        <v>907</v>
      </c>
      <c r="F22" s="68" t="s">
        <v>518</v>
      </c>
      <c r="G22" s="67"/>
    </row>
    <row r="23" spans="1:7" hidden="1" x14ac:dyDescent="0.2">
      <c r="A23" s="281" t="s">
        <v>574</v>
      </c>
      <c r="B23" s="281" t="s">
        <v>525</v>
      </c>
      <c r="C23" s="284" t="s">
        <v>155</v>
      </c>
      <c r="D23" s="285">
        <v>3124546.19</v>
      </c>
      <c r="E23" s="68" t="s">
        <v>907</v>
      </c>
      <c r="F23" s="68" t="s">
        <v>518</v>
      </c>
      <c r="G23" s="67"/>
    </row>
    <row r="24" spans="1:7" hidden="1" x14ac:dyDescent="0.2">
      <c r="A24" s="281" t="s">
        <v>575</v>
      </c>
      <c r="B24" s="281" t="s">
        <v>526</v>
      </c>
      <c r="C24" s="284" t="s">
        <v>155</v>
      </c>
      <c r="D24" s="285">
        <v>346334.25</v>
      </c>
      <c r="E24" s="68" t="s">
        <v>907</v>
      </c>
      <c r="F24" s="68" t="s">
        <v>518</v>
      </c>
      <c r="G24" s="67"/>
    </row>
    <row r="25" spans="1:7" hidden="1" x14ac:dyDescent="0.2">
      <c r="A25" s="281" t="s">
        <v>576</v>
      </c>
      <c r="B25" s="281" t="s">
        <v>527</v>
      </c>
      <c r="C25" s="284" t="s">
        <v>155</v>
      </c>
      <c r="D25" s="285">
        <v>358377.14</v>
      </c>
      <c r="E25" s="68" t="s">
        <v>907</v>
      </c>
      <c r="F25" s="68" t="s">
        <v>518</v>
      </c>
      <c r="G25" s="67"/>
    </row>
    <row r="26" spans="1:7" hidden="1" x14ac:dyDescent="0.2">
      <c r="A26" s="281" t="s">
        <v>577</v>
      </c>
      <c r="B26" s="281" t="s">
        <v>528</v>
      </c>
      <c r="C26" s="284" t="s">
        <v>155</v>
      </c>
      <c r="D26" s="285">
        <v>135238</v>
      </c>
      <c r="E26" s="68" t="s">
        <v>907</v>
      </c>
      <c r="F26" s="68" t="s">
        <v>518</v>
      </c>
      <c r="G26" s="67"/>
    </row>
    <row r="27" spans="1:7" hidden="1" x14ac:dyDescent="0.2">
      <c r="A27" s="281" t="s">
        <v>578</v>
      </c>
      <c r="B27" s="281" t="s">
        <v>546</v>
      </c>
      <c r="C27" s="284" t="s">
        <v>155</v>
      </c>
      <c r="D27" s="285">
        <v>25119.06</v>
      </c>
      <c r="E27" s="68" t="s">
        <v>907</v>
      </c>
      <c r="F27" s="68" t="s">
        <v>545</v>
      </c>
      <c r="G27" s="67"/>
    </row>
    <row r="28" spans="1:7" hidden="1" x14ac:dyDescent="0.2">
      <c r="A28" s="281" t="s">
        <v>579</v>
      </c>
      <c r="B28" s="281" t="s">
        <v>529</v>
      </c>
      <c r="C28" s="284" t="s">
        <v>155</v>
      </c>
      <c r="D28" s="285">
        <v>2202.94</v>
      </c>
      <c r="E28" s="68" t="s">
        <v>907</v>
      </c>
      <c r="F28" s="68" t="s">
        <v>518</v>
      </c>
      <c r="G28" s="67"/>
    </row>
    <row r="29" spans="1:7" hidden="1" x14ac:dyDescent="0.2">
      <c r="A29" s="281" t="s">
        <v>580</v>
      </c>
      <c r="B29" s="281" t="s">
        <v>531</v>
      </c>
      <c r="C29" s="284" t="s">
        <v>155</v>
      </c>
      <c r="D29" s="285">
        <v>181029.17</v>
      </c>
      <c r="E29" s="68" t="s">
        <v>907</v>
      </c>
      <c r="F29" s="68" t="s">
        <v>518</v>
      </c>
      <c r="G29" s="67"/>
    </row>
    <row r="30" spans="1:7" hidden="1" x14ac:dyDescent="0.2">
      <c r="A30" s="281" t="s">
        <v>581</v>
      </c>
      <c r="B30" s="281" t="s">
        <v>532</v>
      </c>
      <c r="C30" s="284" t="s">
        <v>155</v>
      </c>
      <c r="D30" s="285">
        <v>13.09</v>
      </c>
      <c r="E30" s="68" t="s">
        <v>907</v>
      </c>
      <c r="F30" s="68" t="s">
        <v>518</v>
      </c>
      <c r="G30" s="67"/>
    </row>
    <row r="31" spans="1:7" hidden="1" x14ac:dyDescent="0.2">
      <c r="A31" s="281" t="s">
        <v>582</v>
      </c>
      <c r="B31" s="281" t="s">
        <v>533</v>
      </c>
      <c r="C31" s="284" t="s">
        <v>155</v>
      </c>
      <c r="D31" s="285">
        <v>478.49</v>
      </c>
      <c r="E31" s="68" t="s">
        <v>907</v>
      </c>
      <c r="F31" s="68" t="s">
        <v>518</v>
      </c>
      <c r="G31" s="67"/>
    </row>
    <row r="32" spans="1:7" hidden="1" x14ac:dyDescent="0.2">
      <c r="A32" s="281" t="s">
        <v>583</v>
      </c>
      <c r="B32" s="281" t="s">
        <v>534</v>
      </c>
      <c r="C32" s="284" t="s">
        <v>155</v>
      </c>
      <c r="D32" s="285">
        <v>320.23</v>
      </c>
      <c r="E32" s="68" t="s">
        <v>907</v>
      </c>
      <c r="F32" s="68" t="s">
        <v>518</v>
      </c>
      <c r="G32" s="67"/>
    </row>
    <row r="33" spans="1:9" hidden="1" x14ac:dyDescent="0.2">
      <c r="A33" s="281" t="s">
        <v>584</v>
      </c>
      <c r="B33" s="281" t="s">
        <v>535</v>
      </c>
      <c r="C33" s="284" t="s">
        <v>155</v>
      </c>
      <c r="D33" s="285">
        <v>85378.5</v>
      </c>
      <c r="E33" s="68" t="s">
        <v>907</v>
      </c>
      <c r="F33" s="68" t="s">
        <v>518</v>
      </c>
      <c r="G33" s="67"/>
    </row>
    <row r="34" spans="1:9" hidden="1" x14ac:dyDescent="0.2">
      <c r="A34" s="281" t="s">
        <v>585</v>
      </c>
      <c r="B34" s="281" t="s">
        <v>536</v>
      </c>
      <c r="C34" s="284" t="s">
        <v>155</v>
      </c>
      <c r="D34" s="285">
        <v>470.99</v>
      </c>
      <c r="E34" s="68" t="s">
        <v>907</v>
      </c>
      <c r="F34" s="68" t="s">
        <v>518</v>
      </c>
      <c r="G34" s="67"/>
    </row>
    <row r="35" spans="1:9" hidden="1" x14ac:dyDescent="0.2">
      <c r="A35" s="281" t="s">
        <v>586</v>
      </c>
      <c r="B35" s="281" t="s">
        <v>547</v>
      </c>
      <c r="C35" s="284" t="s">
        <v>155</v>
      </c>
      <c r="D35" s="285">
        <v>7615922.9699999997</v>
      </c>
      <c r="E35" s="68" t="s">
        <v>907</v>
      </c>
      <c r="F35" s="68" t="s">
        <v>545</v>
      </c>
      <c r="G35" s="67"/>
    </row>
    <row r="36" spans="1:9" hidden="1" x14ac:dyDescent="0.2">
      <c r="A36" s="281" t="s">
        <v>587</v>
      </c>
      <c r="B36" s="281" t="s">
        <v>537</v>
      </c>
      <c r="C36" s="284" t="s">
        <v>155</v>
      </c>
      <c r="D36" s="285">
        <v>2414.3000000000002</v>
      </c>
      <c r="E36" s="68" t="s">
        <v>907</v>
      </c>
      <c r="F36" s="68" t="s">
        <v>518</v>
      </c>
      <c r="G36" s="67"/>
    </row>
    <row r="37" spans="1:9" hidden="1" x14ac:dyDescent="0.2">
      <c r="A37" s="281" t="s">
        <v>588</v>
      </c>
      <c r="B37" s="281" t="s">
        <v>538</v>
      </c>
      <c r="C37" s="284" t="s">
        <v>155</v>
      </c>
      <c r="D37" s="285">
        <v>2706694.39</v>
      </c>
      <c r="E37" s="68" t="s">
        <v>907</v>
      </c>
      <c r="F37" s="68" t="s">
        <v>518</v>
      </c>
      <c r="G37" s="67"/>
    </row>
    <row r="38" spans="1:9" hidden="1" x14ac:dyDescent="0.2">
      <c r="A38" s="281" t="s">
        <v>589</v>
      </c>
      <c r="B38" s="281" t="s">
        <v>539</v>
      </c>
      <c r="C38" s="284" t="s">
        <v>155</v>
      </c>
      <c r="D38" s="286">
        <v>5079916.62</v>
      </c>
      <c r="E38" s="68" t="s">
        <v>907</v>
      </c>
      <c r="F38" s="287" t="s">
        <v>518</v>
      </c>
      <c r="G38" s="288"/>
    </row>
    <row r="39" spans="1:9" hidden="1" x14ac:dyDescent="0.2">
      <c r="A39" s="281" t="s">
        <v>590</v>
      </c>
      <c r="B39" s="281" t="s">
        <v>591</v>
      </c>
      <c r="C39" s="282" t="s">
        <v>155</v>
      </c>
      <c r="D39" s="283">
        <v>18873.57</v>
      </c>
      <c r="E39" s="68" t="s">
        <v>907</v>
      </c>
      <c r="F39" s="68" t="s">
        <v>890</v>
      </c>
      <c r="G39" s="67"/>
      <c r="I39" s="315">
        <f>D39+D43+D44</f>
        <v>71493.75</v>
      </c>
    </row>
    <row r="40" spans="1:9" x14ac:dyDescent="0.2">
      <c r="A40" s="281" t="s">
        <v>592</v>
      </c>
      <c r="B40" s="281" t="s">
        <v>593</v>
      </c>
      <c r="C40" s="282" t="s">
        <v>155</v>
      </c>
      <c r="D40" s="283">
        <v>37344.32</v>
      </c>
      <c r="E40" s="68" t="s">
        <v>907</v>
      </c>
      <c r="F40" s="228" t="s">
        <v>619</v>
      </c>
      <c r="G40" s="67"/>
    </row>
    <row r="41" spans="1:9" x14ac:dyDescent="0.2">
      <c r="A41" s="281" t="s">
        <v>594</v>
      </c>
      <c r="B41" s="281" t="s">
        <v>595</v>
      </c>
      <c r="C41" s="282" t="s">
        <v>155</v>
      </c>
      <c r="D41" s="283">
        <v>884675.77</v>
      </c>
      <c r="E41" s="68" t="s">
        <v>907</v>
      </c>
      <c r="F41" s="228" t="s">
        <v>619</v>
      </c>
      <c r="G41" s="67"/>
    </row>
    <row r="42" spans="1:9" x14ac:dyDescent="0.2">
      <c r="A42" s="281" t="s">
        <v>596</v>
      </c>
      <c r="B42" s="281" t="s">
        <v>597</v>
      </c>
      <c r="C42" s="282" t="s">
        <v>155</v>
      </c>
      <c r="D42" s="283">
        <v>9644740.4600000009</v>
      </c>
      <c r="E42" s="68" t="s">
        <v>907</v>
      </c>
      <c r="F42" s="228" t="s">
        <v>619</v>
      </c>
      <c r="G42" s="67"/>
    </row>
    <row r="43" spans="1:9" hidden="1" x14ac:dyDescent="0.2">
      <c r="A43" s="281" t="s">
        <v>598</v>
      </c>
      <c r="B43" s="281" t="s">
        <v>599</v>
      </c>
      <c r="C43" s="282" t="s">
        <v>208</v>
      </c>
      <c r="D43" s="283">
        <v>47836.53</v>
      </c>
      <c r="E43" s="68" t="s">
        <v>907</v>
      </c>
      <c r="F43" s="68" t="s">
        <v>890</v>
      </c>
      <c r="G43" s="67"/>
    </row>
    <row r="44" spans="1:9" hidden="1" x14ac:dyDescent="0.2">
      <c r="A44" s="281" t="s">
        <v>600</v>
      </c>
      <c r="B44" s="281" t="s">
        <v>601</v>
      </c>
      <c r="C44" s="282" t="s">
        <v>208</v>
      </c>
      <c r="D44" s="283">
        <v>4783.6499999999996</v>
      </c>
      <c r="E44" s="68" t="s">
        <v>907</v>
      </c>
      <c r="F44" s="68" t="s">
        <v>890</v>
      </c>
      <c r="G44" s="67"/>
    </row>
    <row r="45" spans="1:9" x14ac:dyDescent="0.2">
      <c r="A45" s="281" t="s">
        <v>602</v>
      </c>
      <c r="B45" s="281" t="s">
        <v>603</v>
      </c>
      <c r="C45" s="282" t="s">
        <v>155</v>
      </c>
      <c r="D45" s="283">
        <v>1526.03</v>
      </c>
      <c r="E45" s="68" t="s">
        <v>907</v>
      </c>
      <c r="F45" s="228" t="s">
        <v>619</v>
      </c>
      <c r="G45" s="67"/>
    </row>
    <row r="46" spans="1:9" x14ac:dyDescent="0.2">
      <c r="A46" s="281" t="s">
        <v>604</v>
      </c>
      <c r="B46" s="281" t="s">
        <v>605</v>
      </c>
      <c r="C46" s="282" t="s">
        <v>155</v>
      </c>
      <c r="D46" s="283">
        <v>2428284.1</v>
      </c>
      <c r="E46" s="68" t="s">
        <v>907</v>
      </c>
      <c r="F46" s="228" t="s">
        <v>619</v>
      </c>
      <c r="G46" s="67"/>
    </row>
    <row r="47" spans="1:9" hidden="1" x14ac:dyDescent="0.2">
      <c r="A47" s="281" t="s">
        <v>606</v>
      </c>
      <c r="B47" s="281" t="s">
        <v>540</v>
      </c>
      <c r="C47" s="284" t="s">
        <v>215</v>
      </c>
      <c r="D47" s="289">
        <v>2706694.39</v>
      </c>
      <c r="E47" s="68" t="s">
        <v>907</v>
      </c>
      <c r="F47" s="238" t="s">
        <v>518</v>
      </c>
      <c r="G47" s="239"/>
    </row>
    <row r="48" spans="1:9" hidden="1" x14ac:dyDescent="0.2">
      <c r="A48" s="281" t="s">
        <v>607</v>
      </c>
      <c r="B48" s="281" t="s">
        <v>541</v>
      </c>
      <c r="C48" s="284" t="s">
        <v>215</v>
      </c>
      <c r="D48" s="286">
        <v>2701804.65</v>
      </c>
      <c r="E48" s="68" t="s">
        <v>907</v>
      </c>
      <c r="F48" s="287" t="s">
        <v>518</v>
      </c>
      <c r="G48" s="288"/>
    </row>
    <row r="49" spans="1:7" x14ac:dyDescent="0.2">
      <c r="A49" s="281" t="s">
        <v>608</v>
      </c>
      <c r="B49" s="281" t="s">
        <v>609</v>
      </c>
      <c r="C49" s="282" t="s">
        <v>155</v>
      </c>
      <c r="D49" s="283">
        <v>2192761.67</v>
      </c>
      <c r="E49" s="68" t="s">
        <v>907</v>
      </c>
      <c r="F49" s="228" t="s">
        <v>619</v>
      </c>
      <c r="G49" s="67"/>
    </row>
    <row r="50" spans="1:7" x14ac:dyDescent="0.2">
      <c r="A50" s="281" t="s">
        <v>610</v>
      </c>
      <c r="B50" s="281" t="s">
        <v>611</v>
      </c>
      <c r="C50" s="282" t="s">
        <v>155</v>
      </c>
      <c r="D50" s="283">
        <v>4896872.92</v>
      </c>
      <c r="E50" s="68" t="s">
        <v>907</v>
      </c>
      <c r="F50" s="228" t="s">
        <v>619</v>
      </c>
      <c r="G50" s="67"/>
    </row>
    <row r="51" spans="1:7" hidden="1" x14ac:dyDescent="0.2">
      <c r="A51" s="281" t="s">
        <v>612</v>
      </c>
      <c r="B51" s="281" t="s">
        <v>542</v>
      </c>
      <c r="C51" s="284" t="s">
        <v>215</v>
      </c>
      <c r="D51" s="290">
        <v>595700.62</v>
      </c>
      <c r="E51" s="68" t="s">
        <v>907</v>
      </c>
      <c r="F51" s="291" t="s">
        <v>518</v>
      </c>
      <c r="G51" s="292"/>
    </row>
    <row r="52" spans="1:7" x14ac:dyDescent="0.2">
      <c r="A52" s="281" t="s">
        <v>613</v>
      </c>
      <c r="B52" s="281" t="s">
        <v>614</v>
      </c>
      <c r="C52" s="282" t="s">
        <v>155</v>
      </c>
      <c r="D52" s="283">
        <v>14652060.859999999</v>
      </c>
      <c r="E52" s="68" t="s">
        <v>907</v>
      </c>
      <c r="F52" s="228" t="s">
        <v>619</v>
      </c>
      <c r="G52" s="67"/>
    </row>
    <row r="53" spans="1:7" hidden="1" x14ac:dyDescent="0.2">
      <c r="A53" s="281" t="s">
        <v>615</v>
      </c>
      <c r="B53" s="281" t="s">
        <v>543</v>
      </c>
      <c r="C53" s="284" t="s">
        <v>215</v>
      </c>
      <c r="D53" s="290">
        <v>1782411.35</v>
      </c>
      <c r="E53" s="68" t="s">
        <v>907</v>
      </c>
      <c r="F53" s="291" t="s">
        <v>518</v>
      </c>
      <c r="G53" s="292"/>
    </row>
    <row r="54" spans="1:7" x14ac:dyDescent="0.2">
      <c r="A54" s="281" t="s">
        <v>616</v>
      </c>
      <c r="B54" s="281" t="s">
        <v>617</v>
      </c>
      <c r="C54" s="282" t="s">
        <v>155</v>
      </c>
      <c r="D54" s="283">
        <v>939755</v>
      </c>
      <c r="E54" s="68" t="s">
        <v>907</v>
      </c>
      <c r="F54" s="228" t="s">
        <v>619</v>
      </c>
      <c r="G54" s="67"/>
    </row>
    <row r="55" spans="1:7" hidden="1" x14ac:dyDescent="0.2">
      <c r="A55" s="412"/>
      <c r="B55" s="412"/>
      <c r="C55" s="412"/>
      <c r="D55" s="237">
        <v>75751224.140000001</v>
      </c>
      <c r="E55" s="238"/>
      <c r="F55" s="238"/>
      <c r="G55" s="239"/>
    </row>
  </sheetData>
  <autoFilter ref="A3:G55" xr:uid="{B0CFA63B-4067-42D8-BDA7-ECC31877F362}">
    <filterColumn colId="5">
      <filters>
        <filter val="Folha 04-2025"/>
      </filters>
    </filterColumn>
  </autoFilter>
  <mergeCells count="1">
    <mergeCell ref="A55:C55"/>
  </mergeCells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EF02-6270-47F2-9945-1705FDD595EA}">
  <sheetPr filterMode="1"/>
  <dimension ref="A1:H67"/>
  <sheetViews>
    <sheetView workbookViewId="0">
      <selection activeCell="E13" sqref="E13"/>
    </sheetView>
  </sheetViews>
  <sheetFormatPr defaultRowHeight="15" x14ac:dyDescent="0.25"/>
  <cols>
    <col min="1" max="1" width="12.85546875" customWidth="1"/>
    <col min="2" max="2" width="29.42578125" customWidth="1"/>
    <col min="3" max="3" width="21" style="1" customWidth="1"/>
    <col min="4" max="4" width="4.42578125" style="2" customWidth="1"/>
    <col min="5" max="5" width="35.140625" customWidth="1"/>
    <col min="6" max="6" width="21.7109375" style="2" customWidth="1"/>
    <col min="8" max="8" width="15.285156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C2" s="225">
        <f>SUBTOTAL(9,C3:C69)</f>
        <v>157665000.49000004</v>
      </c>
      <c r="E2" s="14"/>
    </row>
    <row r="3" spans="1:6" x14ac:dyDescent="0.25">
      <c r="A3" s="182" t="s">
        <v>2</v>
      </c>
      <c r="B3" s="182" t="s">
        <v>3</v>
      </c>
      <c r="C3" s="183" t="s">
        <v>4</v>
      </c>
      <c r="D3" s="182" t="s">
        <v>5</v>
      </c>
      <c r="E3" s="182" t="s">
        <v>6</v>
      </c>
      <c r="F3" s="185" t="s">
        <v>517</v>
      </c>
    </row>
    <row r="4" spans="1:6" x14ac:dyDescent="0.25">
      <c r="A4" s="6" t="s">
        <v>484</v>
      </c>
      <c r="B4" s="6" t="s">
        <v>10</v>
      </c>
      <c r="C4" s="7">
        <v>250252.14</v>
      </c>
      <c r="D4" s="5" t="s">
        <v>7</v>
      </c>
      <c r="E4" s="6" t="s">
        <v>42</v>
      </c>
      <c r="F4"/>
    </row>
    <row r="5" spans="1:6" hidden="1" x14ac:dyDescent="0.25">
      <c r="A5" s="9" t="s">
        <v>484</v>
      </c>
      <c r="B5" s="9" t="s">
        <v>50</v>
      </c>
      <c r="C5" s="10">
        <v>460041.44</v>
      </c>
      <c r="D5" s="8" t="s">
        <v>16</v>
      </c>
      <c r="E5" s="9" t="s">
        <v>66</v>
      </c>
      <c r="F5" s="8" t="s">
        <v>505</v>
      </c>
    </row>
    <row r="6" spans="1:6" x14ac:dyDescent="0.25">
      <c r="A6" s="16" t="s">
        <v>484</v>
      </c>
      <c r="B6" s="16" t="s">
        <v>20</v>
      </c>
      <c r="C6" s="17">
        <v>209789.3</v>
      </c>
      <c r="D6" s="15" t="s">
        <v>7</v>
      </c>
      <c r="E6" s="16" t="s">
        <v>495</v>
      </c>
      <c r="F6"/>
    </row>
    <row r="7" spans="1:6" x14ac:dyDescent="0.25">
      <c r="A7" s="179" t="s">
        <v>485</v>
      </c>
      <c r="B7" s="179" t="s">
        <v>49</v>
      </c>
      <c r="C7" s="181">
        <v>103.93</v>
      </c>
      <c r="D7" s="180" t="s">
        <v>7</v>
      </c>
      <c r="E7" s="179" t="s">
        <v>8</v>
      </c>
      <c r="F7" s="184"/>
    </row>
    <row r="8" spans="1:6" hidden="1" x14ac:dyDescent="0.25">
      <c r="A8" s="9" t="s">
        <v>485</v>
      </c>
      <c r="B8" s="9" t="s">
        <v>50</v>
      </c>
      <c r="C8" s="10">
        <v>31900062.16</v>
      </c>
      <c r="D8" s="8" t="s">
        <v>16</v>
      </c>
      <c r="E8" s="9" t="s">
        <v>66</v>
      </c>
      <c r="F8" s="8" t="s">
        <v>518</v>
      </c>
    </row>
    <row r="9" spans="1:6" hidden="1" x14ac:dyDescent="0.25">
      <c r="A9" s="9" t="s">
        <v>485</v>
      </c>
      <c r="B9" s="9" t="s">
        <v>50</v>
      </c>
      <c r="C9" s="10">
        <v>7641042.0300000003</v>
      </c>
      <c r="D9" s="8" t="s">
        <v>16</v>
      </c>
      <c r="E9" s="9" t="s">
        <v>66</v>
      </c>
      <c r="F9" s="8" t="s">
        <v>545</v>
      </c>
    </row>
    <row r="10" spans="1:6" x14ac:dyDescent="0.25">
      <c r="A10" s="16" t="s">
        <v>485</v>
      </c>
      <c r="B10" s="16" t="s">
        <v>20</v>
      </c>
      <c r="C10" s="17">
        <v>39541000.259999998</v>
      </c>
      <c r="D10" s="15" t="s">
        <v>7</v>
      </c>
      <c r="E10" s="16" t="s">
        <v>495</v>
      </c>
      <c r="F10"/>
    </row>
    <row r="11" spans="1:6" x14ac:dyDescent="0.25">
      <c r="A11" s="6" t="s">
        <v>486</v>
      </c>
      <c r="B11" s="6" t="s">
        <v>12</v>
      </c>
      <c r="C11" s="7">
        <v>764797.82</v>
      </c>
      <c r="D11" s="5" t="s">
        <v>7</v>
      </c>
      <c r="E11" s="6" t="s">
        <v>42</v>
      </c>
      <c r="F11"/>
    </row>
    <row r="12" spans="1:6" hidden="1" x14ac:dyDescent="0.25">
      <c r="A12" s="16" t="s">
        <v>486</v>
      </c>
      <c r="B12" s="16" t="s">
        <v>17</v>
      </c>
      <c r="C12" s="17">
        <v>764797.82</v>
      </c>
      <c r="D12" s="15" t="s">
        <v>16</v>
      </c>
      <c r="E12" s="16" t="s">
        <v>44</v>
      </c>
      <c r="F12" s="15"/>
    </row>
    <row r="13" spans="1:6" x14ac:dyDescent="0.25">
      <c r="A13" s="6" t="s">
        <v>487</v>
      </c>
      <c r="B13" s="6" t="s">
        <v>11</v>
      </c>
      <c r="C13" s="7">
        <v>310.55</v>
      </c>
      <c r="D13" s="5" t="s">
        <v>7</v>
      </c>
      <c r="E13" s="6" t="s">
        <v>42</v>
      </c>
      <c r="F13"/>
    </row>
    <row r="14" spans="1:6" x14ac:dyDescent="0.25">
      <c r="A14" s="6" t="s">
        <v>487</v>
      </c>
      <c r="B14" s="6" t="s">
        <v>13</v>
      </c>
      <c r="C14" s="7">
        <v>970831.98</v>
      </c>
      <c r="D14" s="5" t="s">
        <v>7</v>
      </c>
      <c r="E14" s="6" t="s">
        <v>42</v>
      </c>
      <c r="F14"/>
    </row>
    <row r="15" spans="1:6" x14ac:dyDescent="0.25">
      <c r="A15" s="6" t="s">
        <v>487</v>
      </c>
      <c r="B15" s="6" t="s">
        <v>13</v>
      </c>
      <c r="C15" s="7">
        <v>2256898.69</v>
      </c>
      <c r="D15" s="5" t="s">
        <v>7</v>
      </c>
      <c r="E15" s="6" t="s">
        <v>42</v>
      </c>
      <c r="F15"/>
    </row>
    <row r="16" spans="1:6" x14ac:dyDescent="0.25">
      <c r="A16" s="6" t="s">
        <v>487</v>
      </c>
      <c r="B16" s="6" t="s">
        <v>13</v>
      </c>
      <c r="C16" s="7">
        <v>26109922.539999999</v>
      </c>
      <c r="D16" s="5" t="s">
        <v>7</v>
      </c>
      <c r="E16" s="6" t="s">
        <v>42</v>
      </c>
      <c r="F16"/>
    </row>
    <row r="17" spans="1:8" x14ac:dyDescent="0.25">
      <c r="A17" s="6" t="s">
        <v>487</v>
      </c>
      <c r="B17" s="6" t="s">
        <v>13</v>
      </c>
      <c r="C17" s="7">
        <v>11421.52</v>
      </c>
      <c r="D17" s="5" t="s">
        <v>7</v>
      </c>
      <c r="E17" s="6" t="s">
        <v>42</v>
      </c>
      <c r="F17"/>
    </row>
    <row r="18" spans="1:8" x14ac:dyDescent="0.25">
      <c r="A18" s="11" t="s">
        <v>487</v>
      </c>
      <c r="B18" s="11" t="s">
        <v>14</v>
      </c>
      <c r="C18" s="13">
        <v>25654.02</v>
      </c>
      <c r="D18" s="12" t="s">
        <v>7</v>
      </c>
      <c r="E18" s="11" t="s">
        <v>43</v>
      </c>
      <c r="F18"/>
    </row>
    <row r="19" spans="1:8" x14ac:dyDescent="0.25">
      <c r="A19" s="6" t="s">
        <v>487</v>
      </c>
      <c r="B19" s="6" t="s">
        <v>14</v>
      </c>
      <c r="C19" s="7">
        <v>14883.18</v>
      </c>
      <c r="D19" s="5" t="s">
        <v>7</v>
      </c>
      <c r="E19" s="6" t="s">
        <v>42</v>
      </c>
      <c r="F19"/>
    </row>
    <row r="20" spans="1:8" hidden="1" x14ac:dyDescent="0.25">
      <c r="A20" s="11" t="s">
        <v>487</v>
      </c>
      <c r="B20" s="11" t="s">
        <v>15</v>
      </c>
      <c r="C20" s="13">
        <v>25654.02</v>
      </c>
      <c r="D20" s="12" t="s">
        <v>16</v>
      </c>
      <c r="E20" s="11" t="s">
        <v>43</v>
      </c>
      <c r="F20" s="12"/>
    </row>
    <row r="21" spans="1:8" hidden="1" x14ac:dyDescent="0.25">
      <c r="A21" s="16" t="s">
        <v>487</v>
      </c>
      <c r="B21" s="16" t="s">
        <v>17</v>
      </c>
      <c r="C21" s="17">
        <v>29364268.460000001</v>
      </c>
      <c r="D21" s="15" t="s">
        <v>16</v>
      </c>
      <c r="E21" s="16" t="s">
        <v>44</v>
      </c>
      <c r="F21" s="15"/>
    </row>
    <row r="22" spans="1:8" hidden="1" x14ac:dyDescent="0.25">
      <c r="A22" s="9" t="s">
        <v>488</v>
      </c>
      <c r="B22" s="9" t="s">
        <v>22</v>
      </c>
      <c r="C22" s="10">
        <v>8041.68</v>
      </c>
      <c r="D22" s="8" t="s">
        <v>16</v>
      </c>
      <c r="E22" s="9" t="s">
        <v>619</v>
      </c>
      <c r="F22" s="8"/>
      <c r="H22" s="14"/>
    </row>
    <row r="23" spans="1:8" x14ac:dyDescent="0.25">
      <c r="A23" s="16" t="s">
        <v>488</v>
      </c>
      <c r="B23" s="16" t="s">
        <v>20</v>
      </c>
      <c r="C23" s="17">
        <v>8041.68</v>
      </c>
      <c r="D23" s="15" t="s">
        <v>7</v>
      </c>
      <c r="E23" s="16" t="s">
        <v>495</v>
      </c>
      <c r="F23"/>
    </row>
    <row r="24" spans="1:8" x14ac:dyDescent="0.25">
      <c r="A24" s="6" t="s">
        <v>489</v>
      </c>
      <c r="B24" s="6" t="s">
        <v>11</v>
      </c>
      <c r="C24" s="7">
        <v>82.23</v>
      </c>
      <c r="D24" s="5" t="s">
        <v>7</v>
      </c>
      <c r="E24" s="6" t="s">
        <v>42</v>
      </c>
      <c r="F24"/>
    </row>
    <row r="25" spans="1:8" x14ac:dyDescent="0.25">
      <c r="A25" s="6" t="s">
        <v>489</v>
      </c>
      <c r="B25" s="6" t="s">
        <v>13</v>
      </c>
      <c r="C25" s="7">
        <v>400712.56</v>
      </c>
      <c r="D25" s="5" t="s">
        <v>7</v>
      </c>
      <c r="E25" s="6" t="s">
        <v>42</v>
      </c>
      <c r="F25"/>
    </row>
    <row r="26" spans="1:8" x14ac:dyDescent="0.25">
      <c r="A26" s="6" t="s">
        <v>489</v>
      </c>
      <c r="B26" s="6" t="s">
        <v>13</v>
      </c>
      <c r="C26" s="7">
        <v>931538.86</v>
      </c>
      <c r="D26" s="5" t="s">
        <v>7</v>
      </c>
      <c r="E26" s="6" t="s">
        <v>42</v>
      </c>
      <c r="F26"/>
    </row>
    <row r="27" spans="1:8" x14ac:dyDescent="0.25">
      <c r="A27" s="6" t="s">
        <v>489</v>
      </c>
      <c r="B27" s="6" t="s">
        <v>13</v>
      </c>
      <c r="C27" s="7">
        <v>10426887.08</v>
      </c>
      <c r="D27" s="5" t="s">
        <v>7</v>
      </c>
      <c r="E27" s="6" t="s">
        <v>42</v>
      </c>
      <c r="F27"/>
    </row>
    <row r="28" spans="1:8" x14ac:dyDescent="0.25">
      <c r="A28" s="6" t="s">
        <v>489</v>
      </c>
      <c r="B28" s="6" t="s">
        <v>13</v>
      </c>
      <c r="C28" s="7">
        <v>4714.21</v>
      </c>
      <c r="D28" s="5" t="s">
        <v>7</v>
      </c>
      <c r="E28" s="6" t="s">
        <v>42</v>
      </c>
      <c r="F28"/>
    </row>
    <row r="29" spans="1:8" x14ac:dyDescent="0.25">
      <c r="A29" s="11" t="s">
        <v>489</v>
      </c>
      <c r="B29" s="11" t="s">
        <v>14</v>
      </c>
      <c r="C29" s="13">
        <v>13535.08</v>
      </c>
      <c r="D29" s="12" t="s">
        <v>7</v>
      </c>
      <c r="E29" s="11" t="s">
        <v>43</v>
      </c>
      <c r="F29"/>
    </row>
    <row r="30" spans="1:8" x14ac:dyDescent="0.25">
      <c r="A30" s="6" t="s">
        <v>489</v>
      </c>
      <c r="B30" s="6" t="s">
        <v>14</v>
      </c>
      <c r="C30" s="7">
        <v>7852.36</v>
      </c>
      <c r="D30" s="5" t="s">
        <v>7</v>
      </c>
      <c r="E30" s="6" t="s">
        <v>42</v>
      </c>
      <c r="F30"/>
    </row>
    <row r="31" spans="1:8" hidden="1" x14ac:dyDescent="0.25">
      <c r="A31" s="11" t="s">
        <v>489</v>
      </c>
      <c r="B31" s="11" t="s">
        <v>15</v>
      </c>
      <c r="C31" s="13">
        <v>13535.08</v>
      </c>
      <c r="D31" s="12" t="s">
        <v>16</v>
      </c>
      <c r="E31" s="11" t="s">
        <v>43</v>
      </c>
      <c r="F31" s="12"/>
    </row>
    <row r="32" spans="1:8" hidden="1" x14ac:dyDescent="0.25">
      <c r="A32" s="9" t="s">
        <v>489</v>
      </c>
      <c r="B32" s="9" t="s">
        <v>28</v>
      </c>
      <c r="C32" s="10">
        <v>18873.57</v>
      </c>
      <c r="D32" s="8" t="s">
        <v>16</v>
      </c>
      <c r="E32" s="9" t="s">
        <v>66</v>
      </c>
      <c r="F32" s="8"/>
    </row>
    <row r="33" spans="1:8" hidden="1" x14ac:dyDescent="0.25">
      <c r="A33" s="9" t="s">
        <v>489</v>
      </c>
      <c r="B33" s="9" t="s">
        <v>28</v>
      </c>
      <c r="C33" s="10">
        <v>47836.53</v>
      </c>
      <c r="D33" s="8" t="s">
        <v>16</v>
      </c>
      <c r="E33" s="9" t="s">
        <v>66</v>
      </c>
      <c r="F33" s="8"/>
    </row>
    <row r="34" spans="1:8" hidden="1" x14ac:dyDescent="0.25">
      <c r="A34" s="9" t="s">
        <v>489</v>
      </c>
      <c r="B34" s="9" t="s">
        <v>28</v>
      </c>
      <c r="C34" s="10">
        <v>4783.6499999999996</v>
      </c>
      <c r="D34" s="8" t="s">
        <v>16</v>
      </c>
      <c r="E34" s="9" t="s">
        <v>66</v>
      </c>
      <c r="F34" s="8"/>
    </row>
    <row r="35" spans="1:8" hidden="1" x14ac:dyDescent="0.25">
      <c r="A35" s="16" t="s">
        <v>489</v>
      </c>
      <c r="B35" s="16" t="s">
        <v>17</v>
      </c>
      <c r="C35" s="17">
        <v>11700293.550000001</v>
      </c>
      <c r="D35" s="15" t="s">
        <v>16</v>
      </c>
      <c r="E35" s="16" t="s">
        <v>44</v>
      </c>
      <c r="F35" s="15"/>
    </row>
    <row r="36" spans="1:8" x14ac:dyDescent="0.25">
      <c r="A36" s="6" t="s">
        <v>490</v>
      </c>
      <c r="B36" s="6" t="s">
        <v>10</v>
      </c>
      <c r="C36" s="7">
        <v>601252.99</v>
      </c>
      <c r="D36" s="5" t="s">
        <v>7</v>
      </c>
      <c r="E36" s="6" t="s">
        <v>42</v>
      </c>
      <c r="F36"/>
    </row>
    <row r="37" spans="1:8" x14ac:dyDescent="0.25">
      <c r="A37" s="6" t="s">
        <v>490</v>
      </c>
      <c r="B37" s="6" t="s">
        <v>12</v>
      </c>
      <c r="C37" s="7">
        <v>776076.87</v>
      </c>
      <c r="D37" s="5" t="s">
        <v>7</v>
      </c>
      <c r="E37" s="6" t="s">
        <v>42</v>
      </c>
      <c r="F37"/>
    </row>
    <row r="38" spans="1:8" hidden="1" x14ac:dyDescent="0.25">
      <c r="A38" s="16" t="s">
        <v>490</v>
      </c>
      <c r="B38" s="16" t="s">
        <v>17</v>
      </c>
      <c r="C38" s="17">
        <v>1377329.86</v>
      </c>
      <c r="D38" s="15" t="s">
        <v>16</v>
      </c>
      <c r="E38" s="16" t="s">
        <v>44</v>
      </c>
      <c r="F38" s="15"/>
    </row>
    <row r="39" spans="1:8" hidden="1" x14ac:dyDescent="0.25">
      <c r="A39" s="9" t="s">
        <v>491</v>
      </c>
      <c r="B39" s="9" t="s">
        <v>26</v>
      </c>
      <c r="C39" s="10">
        <v>333.78</v>
      </c>
      <c r="D39" s="8" t="s">
        <v>16</v>
      </c>
      <c r="E39" s="9" t="s">
        <v>27</v>
      </c>
      <c r="F39" s="85" t="s">
        <v>906</v>
      </c>
    </row>
    <row r="40" spans="1:8" hidden="1" x14ac:dyDescent="0.25">
      <c r="A40" s="9" t="s">
        <v>491</v>
      </c>
      <c r="B40" s="9" t="s">
        <v>26</v>
      </c>
      <c r="C40" s="10">
        <v>333.78</v>
      </c>
      <c r="D40" s="8" t="s">
        <v>16</v>
      </c>
      <c r="E40" s="9" t="s">
        <v>27</v>
      </c>
      <c r="F40" s="85" t="s">
        <v>906</v>
      </c>
    </row>
    <row r="41" spans="1:8" x14ac:dyDescent="0.25">
      <c r="A41" s="16" t="s">
        <v>491</v>
      </c>
      <c r="B41" s="16" t="s">
        <v>20</v>
      </c>
      <c r="C41" s="17">
        <v>667.56</v>
      </c>
      <c r="D41" s="15" t="s">
        <v>7</v>
      </c>
      <c r="E41" s="16" t="s">
        <v>495</v>
      </c>
      <c r="F41"/>
    </row>
    <row r="42" spans="1:8" x14ac:dyDescent="0.25">
      <c r="A42" s="6" t="s">
        <v>492</v>
      </c>
      <c r="B42" s="6" t="s">
        <v>12</v>
      </c>
      <c r="C42" s="7">
        <v>12072894.050000001</v>
      </c>
      <c r="D42" s="5" t="s">
        <v>7</v>
      </c>
      <c r="E42" s="6" t="s">
        <v>42</v>
      </c>
      <c r="F42"/>
    </row>
    <row r="43" spans="1:8" x14ac:dyDescent="0.25">
      <c r="A43" s="6" t="s">
        <v>492</v>
      </c>
      <c r="B43" s="6" t="s">
        <v>10</v>
      </c>
      <c r="C43" s="7">
        <v>411780.79</v>
      </c>
      <c r="D43" s="5" t="s">
        <v>7</v>
      </c>
      <c r="E43" s="6" t="s">
        <v>42</v>
      </c>
      <c r="F43"/>
    </row>
    <row r="44" spans="1:8" hidden="1" x14ac:dyDescent="0.25">
      <c r="A44" s="16" t="s">
        <v>492</v>
      </c>
      <c r="B44" s="16" t="s">
        <v>17</v>
      </c>
      <c r="C44" s="17">
        <v>12484674.84</v>
      </c>
      <c r="D44" s="15" t="s">
        <v>16</v>
      </c>
      <c r="E44" s="16" t="s">
        <v>44</v>
      </c>
      <c r="F44" s="15"/>
    </row>
    <row r="45" spans="1:8" hidden="1" x14ac:dyDescent="0.25">
      <c r="A45" s="9" t="s">
        <v>493</v>
      </c>
      <c r="B45" s="9" t="s">
        <v>22</v>
      </c>
      <c r="C45" s="10">
        <v>33884901.25</v>
      </c>
      <c r="D45" s="8" t="s">
        <v>16</v>
      </c>
      <c r="E45" s="9" t="s">
        <v>619</v>
      </c>
      <c r="F45" s="8"/>
    </row>
    <row r="46" spans="1:8" hidden="1" x14ac:dyDescent="0.25">
      <c r="A46" s="9" t="s">
        <v>493</v>
      </c>
      <c r="B46" s="9" t="s">
        <v>22</v>
      </c>
      <c r="C46" s="10">
        <v>574797.52</v>
      </c>
      <c r="D46" s="8" t="s">
        <v>16</v>
      </c>
      <c r="E46" s="9" t="s">
        <v>619</v>
      </c>
      <c r="F46" s="8"/>
      <c r="H46" s="14"/>
    </row>
    <row r="47" spans="1:8" hidden="1" x14ac:dyDescent="0.25">
      <c r="A47" s="9" t="s">
        <v>493</v>
      </c>
      <c r="B47" s="9" t="s">
        <v>22</v>
      </c>
      <c r="C47" s="10">
        <v>271057.19</v>
      </c>
      <c r="D47" s="8" t="s">
        <v>16</v>
      </c>
      <c r="E47" s="9" t="s">
        <v>619</v>
      </c>
      <c r="F47" s="8"/>
    </row>
    <row r="48" spans="1:8" hidden="1" x14ac:dyDescent="0.25">
      <c r="A48" s="9" t="s">
        <v>493</v>
      </c>
      <c r="B48" s="9" t="s">
        <v>22</v>
      </c>
      <c r="C48" s="10">
        <v>694.48</v>
      </c>
      <c r="D48" s="8" t="s">
        <v>16</v>
      </c>
      <c r="E48" s="9" t="s">
        <v>619</v>
      </c>
      <c r="F48" s="8"/>
    </row>
    <row r="49" spans="1:6" hidden="1" x14ac:dyDescent="0.25">
      <c r="A49" s="9" t="s">
        <v>493</v>
      </c>
      <c r="B49" s="9" t="s">
        <v>22</v>
      </c>
      <c r="C49" s="10">
        <v>15343.9</v>
      </c>
      <c r="D49" s="8" t="s">
        <v>16</v>
      </c>
      <c r="E49" s="9" t="s">
        <v>619</v>
      </c>
      <c r="F49" s="8"/>
    </row>
    <row r="50" spans="1:6" hidden="1" x14ac:dyDescent="0.25">
      <c r="A50" s="9" t="s">
        <v>493</v>
      </c>
      <c r="B50" s="9" t="s">
        <v>22</v>
      </c>
      <c r="C50" s="10">
        <v>568544.14</v>
      </c>
      <c r="D50" s="8" t="s">
        <v>16</v>
      </c>
      <c r="E50" s="9" t="s">
        <v>619</v>
      </c>
      <c r="F50" s="8"/>
    </row>
    <row r="51" spans="1:6" hidden="1" x14ac:dyDescent="0.25">
      <c r="A51" s="9" t="s">
        <v>493</v>
      </c>
      <c r="B51" s="9" t="s">
        <v>37</v>
      </c>
      <c r="C51" s="10">
        <v>17012.03</v>
      </c>
      <c r="D51" s="8" t="s">
        <v>16</v>
      </c>
      <c r="E51" s="9" t="s">
        <v>619</v>
      </c>
      <c r="F51" s="8"/>
    </row>
    <row r="52" spans="1:6" hidden="1" x14ac:dyDescent="0.25">
      <c r="A52" s="9" t="s">
        <v>493</v>
      </c>
      <c r="B52" s="9" t="s">
        <v>50</v>
      </c>
      <c r="C52" s="10">
        <v>331945.21000000002</v>
      </c>
      <c r="D52" s="8" t="s">
        <v>16</v>
      </c>
      <c r="E52" s="9" t="s">
        <v>619</v>
      </c>
      <c r="F52" s="8" t="s">
        <v>549</v>
      </c>
    </row>
    <row r="53" spans="1:6" x14ac:dyDescent="0.25">
      <c r="A53" s="16" t="s">
        <v>493</v>
      </c>
      <c r="B53" s="16" t="s">
        <v>20</v>
      </c>
      <c r="C53" s="17">
        <v>35664295.719999999</v>
      </c>
      <c r="D53" s="15" t="s">
        <v>7</v>
      </c>
      <c r="E53" s="16" t="s">
        <v>495</v>
      </c>
      <c r="F53"/>
    </row>
    <row r="54" spans="1:6" x14ac:dyDescent="0.25">
      <c r="A54" s="6" t="s">
        <v>494</v>
      </c>
      <c r="B54" s="6" t="s">
        <v>30</v>
      </c>
      <c r="C54" s="7">
        <v>7240.43</v>
      </c>
      <c r="D54" s="5" t="s">
        <v>7</v>
      </c>
      <c r="E54" s="6" t="s">
        <v>42</v>
      </c>
      <c r="F54"/>
    </row>
    <row r="55" spans="1:6" x14ac:dyDescent="0.25">
      <c r="A55" s="6" t="s">
        <v>494</v>
      </c>
      <c r="B55" s="6" t="s">
        <v>10</v>
      </c>
      <c r="C55" s="7">
        <v>768010.78</v>
      </c>
      <c r="D55" s="5" t="s">
        <v>7</v>
      </c>
      <c r="E55" s="6" t="s">
        <v>42</v>
      </c>
      <c r="F55"/>
    </row>
    <row r="56" spans="1:6" x14ac:dyDescent="0.25">
      <c r="A56" s="6" t="s">
        <v>494</v>
      </c>
      <c r="B56" s="6" t="s">
        <v>11</v>
      </c>
      <c r="C56" s="7">
        <v>46.66</v>
      </c>
      <c r="D56" s="5" t="s">
        <v>7</v>
      </c>
      <c r="E56" s="6" t="s">
        <v>42</v>
      </c>
      <c r="F56"/>
    </row>
    <row r="57" spans="1:6" x14ac:dyDescent="0.25">
      <c r="A57" s="6" t="s">
        <v>494</v>
      </c>
      <c r="B57" s="6" t="s">
        <v>12</v>
      </c>
      <c r="C57" s="7">
        <v>431062.22</v>
      </c>
      <c r="D57" s="5" t="s">
        <v>7</v>
      </c>
      <c r="E57" s="6" t="s">
        <v>42</v>
      </c>
      <c r="F57"/>
    </row>
    <row r="58" spans="1:6" x14ac:dyDescent="0.25">
      <c r="A58" s="6" t="s">
        <v>494</v>
      </c>
      <c r="B58" s="6" t="s">
        <v>13</v>
      </c>
      <c r="C58" s="7">
        <v>833471.83</v>
      </c>
      <c r="D58" s="5" t="s">
        <v>7</v>
      </c>
      <c r="E58" s="6" t="s">
        <v>42</v>
      </c>
      <c r="F58"/>
    </row>
    <row r="59" spans="1:6" x14ac:dyDescent="0.25">
      <c r="A59" s="6" t="s">
        <v>494</v>
      </c>
      <c r="B59" s="6" t="s">
        <v>13</v>
      </c>
      <c r="C59" s="7">
        <v>1937576.86</v>
      </c>
      <c r="D59" s="5" t="s">
        <v>7</v>
      </c>
      <c r="E59" s="6" t="s">
        <v>42</v>
      </c>
      <c r="F59"/>
    </row>
    <row r="60" spans="1:6" x14ac:dyDescent="0.25">
      <c r="A60" s="6" t="s">
        <v>494</v>
      </c>
      <c r="B60" s="6" t="s">
        <v>13</v>
      </c>
      <c r="C60" s="7">
        <v>22024058.09</v>
      </c>
      <c r="D60" s="5" t="s">
        <v>7</v>
      </c>
      <c r="E60" s="6" t="s">
        <v>42</v>
      </c>
      <c r="F60"/>
    </row>
    <row r="61" spans="1:6" x14ac:dyDescent="0.25">
      <c r="A61" s="6" t="s">
        <v>494</v>
      </c>
      <c r="B61" s="6" t="s">
        <v>13</v>
      </c>
      <c r="C61" s="7">
        <v>9805.49</v>
      </c>
      <c r="D61" s="5" t="s">
        <v>7</v>
      </c>
      <c r="E61" s="6" t="s">
        <v>42</v>
      </c>
      <c r="F61"/>
    </row>
    <row r="62" spans="1:6" x14ac:dyDescent="0.25">
      <c r="A62" s="11" t="s">
        <v>494</v>
      </c>
      <c r="B62" s="11" t="s">
        <v>14</v>
      </c>
      <c r="C62" s="13">
        <v>4298.22</v>
      </c>
      <c r="D62" s="12" t="s">
        <v>7</v>
      </c>
      <c r="E62" s="11" t="s">
        <v>43</v>
      </c>
      <c r="F62"/>
    </row>
    <row r="63" spans="1:6" x14ac:dyDescent="0.25">
      <c r="A63" s="6" t="s">
        <v>494</v>
      </c>
      <c r="B63" s="6" t="s">
        <v>14</v>
      </c>
      <c r="C63" s="7">
        <v>2493.61</v>
      </c>
      <c r="D63" s="5" t="s">
        <v>7</v>
      </c>
      <c r="E63" s="6" t="s">
        <v>42</v>
      </c>
      <c r="F63"/>
    </row>
    <row r="64" spans="1:6" x14ac:dyDescent="0.25">
      <c r="A64" s="6" t="s">
        <v>494</v>
      </c>
      <c r="B64" s="6" t="s">
        <v>40</v>
      </c>
      <c r="C64" s="7">
        <v>170738.33</v>
      </c>
      <c r="D64" s="5" t="s">
        <v>7</v>
      </c>
      <c r="E64" s="6" t="s">
        <v>42</v>
      </c>
      <c r="F64"/>
    </row>
    <row r="65" spans="1:8" hidden="1" x14ac:dyDescent="0.25">
      <c r="A65" s="11" t="s">
        <v>494</v>
      </c>
      <c r="B65" s="11" t="s">
        <v>15</v>
      </c>
      <c r="C65" s="13">
        <v>4298.22</v>
      </c>
      <c r="D65" s="12" t="s">
        <v>16</v>
      </c>
      <c r="E65" s="11" t="s">
        <v>43</v>
      </c>
      <c r="F65" s="12"/>
    </row>
    <row r="66" spans="1:8" hidden="1" x14ac:dyDescent="0.25">
      <c r="A66" s="9" t="s">
        <v>494</v>
      </c>
      <c r="B66" s="9" t="s">
        <v>22</v>
      </c>
      <c r="C66" s="10">
        <v>54550.51</v>
      </c>
      <c r="D66" s="8" t="s">
        <v>16</v>
      </c>
      <c r="E66" s="9" t="s">
        <v>619</v>
      </c>
      <c r="F66" s="85" t="s">
        <v>906</v>
      </c>
      <c r="H66" s="14"/>
    </row>
    <row r="67" spans="1:8" hidden="1" x14ac:dyDescent="0.25">
      <c r="A67" s="16" t="s">
        <v>494</v>
      </c>
      <c r="B67" s="16" t="s">
        <v>17</v>
      </c>
      <c r="C67" s="17">
        <v>26129953.789999999</v>
      </c>
      <c r="D67" s="15" t="s">
        <v>16</v>
      </c>
      <c r="E67" s="16" t="s">
        <v>44</v>
      </c>
      <c r="F67" s="15"/>
    </row>
  </sheetData>
  <autoFilter ref="A3:F67" xr:uid="{57B8EF02-6270-47F2-9945-1705FDD595EA}">
    <filterColumn colId="3">
      <filters>
        <filter val="C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4894-906B-4615-8B88-7B2F05DCB717}">
  <dimension ref="B2:H53"/>
  <sheetViews>
    <sheetView topLeftCell="A16" zoomScaleNormal="100" workbookViewId="0">
      <selection activeCell="F28" sqref="F28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0.5703125" style="62" customWidth="1"/>
    <col min="9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621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68716.47</v>
      </c>
      <c r="F5" s="104">
        <f>E5+'Saldos - 03-2025'!F5</f>
        <v>268481.32999999996</v>
      </c>
    </row>
    <row r="6" spans="2:8" x14ac:dyDescent="0.25">
      <c r="B6" s="401" t="s">
        <v>405</v>
      </c>
      <c r="C6" s="402"/>
      <c r="D6" s="402"/>
      <c r="E6" s="105">
        <v>170738.33</v>
      </c>
      <c r="F6" s="104">
        <f>E6+'Saldos - 03-2025'!F6</f>
        <v>1648620.1</v>
      </c>
    </row>
    <row r="7" spans="2:8" x14ac:dyDescent="0.25">
      <c r="B7" s="401" t="s">
        <v>406</v>
      </c>
      <c r="C7" s="402"/>
      <c r="D7" s="402"/>
      <c r="E7" s="105">
        <v>65917839.710000001</v>
      </c>
      <c r="F7" s="104">
        <f>E7+'Saldos - 03-2025'!F7</f>
        <v>302141712.65999997</v>
      </c>
    </row>
    <row r="8" spans="2:8" x14ac:dyDescent="0.25">
      <c r="B8" s="401" t="s">
        <v>407</v>
      </c>
      <c r="C8" s="402"/>
      <c r="D8" s="402"/>
      <c r="E8" s="105">
        <v>14044830.960000001</v>
      </c>
      <c r="F8" s="104">
        <f>E8+'Saldos - 03-2025'!F8</f>
        <v>58551738.540000007</v>
      </c>
    </row>
    <row r="9" spans="2:8" x14ac:dyDescent="0.25">
      <c r="B9" s="401" t="s">
        <v>408</v>
      </c>
      <c r="C9" s="402"/>
      <c r="D9" s="402"/>
      <c r="E9" s="105">
        <v>2031296.7</v>
      </c>
      <c r="F9" s="104">
        <f>E9+'Saldos - 03-2025'!F9</f>
        <v>8006682.1399999997</v>
      </c>
    </row>
    <row r="10" spans="2:8" x14ac:dyDescent="0.25">
      <c r="B10" s="401" t="s">
        <v>409</v>
      </c>
      <c r="C10" s="402"/>
      <c r="D10" s="402"/>
      <c r="E10" s="105">
        <v>7240.43</v>
      </c>
      <c r="F10" s="104">
        <f>E10+'Saldos - 03-2025'!F10</f>
        <v>132946.87</v>
      </c>
    </row>
    <row r="11" spans="2:8" x14ac:dyDescent="0.25">
      <c r="B11" s="401" t="s">
        <v>410</v>
      </c>
      <c r="C11" s="402"/>
      <c r="D11" s="402"/>
      <c r="E11" s="105">
        <v>439.44000000000005</v>
      </c>
      <c r="F11" s="104">
        <f>E11+'Saldos - 03-2025'!F11</f>
        <v>3855.91</v>
      </c>
    </row>
    <row r="12" spans="2:8" x14ac:dyDescent="0.25">
      <c r="B12" s="403" t="s">
        <v>411</v>
      </c>
      <c r="C12" s="404"/>
      <c r="D12" s="404"/>
      <c r="E12" s="107">
        <v>103.93</v>
      </c>
      <c r="F12" s="108">
        <f>E12+'Saldos - 03-2025'!F12</f>
        <v>326.29000000000002</v>
      </c>
    </row>
    <row r="13" spans="2:8" ht="15.75" thickBot="1" x14ac:dyDescent="0.3">
      <c r="B13" s="405" t="s">
        <v>412</v>
      </c>
      <c r="C13" s="406"/>
      <c r="D13" s="406"/>
      <c r="E13" s="110">
        <v>75423794.519999996</v>
      </c>
      <c r="F13" s="111">
        <f>E13+'Saldos - 03-2025'!F13</f>
        <v>251179268.57999998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157665000.49000001</v>
      </c>
      <c r="F14" s="100">
        <f>SUM(F5:F13)</f>
        <v>621933632.42000008</v>
      </c>
      <c r="G14" s="312" t="s">
        <v>924</v>
      </c>
      <c r="H14" s="123"/>
    </row>
    <row r="15" spans="2:8" x14ac:dyDescent="0.25">
      <c r="B15" s="393" t="s">
        <v>414</v>
      </c>
      <c r="C15" s="394"/>
      <c r="D15" s="394"/>
      <c r="E15" s="112">
        <v>-43487.32</v>
      </c>
      <c r="F15" s="241">
        <f>E15+'Saldos - 03-2025'!F15</f>
        <v>-169908.79</v>
      </c>
    </row>
    <row r="16" spans="2:8" x14ac:dyDescent="0.25">
      <c r="B16" s="395" t="s">
        <v>415</v>
      </c>
      <c r="C16" s="396"/>
      <c r="D16" s="396"/>
      <c r="E16" s="114">
        <f>-E12</f>
        <v>-103.93</v>
      </c>
      <c r="F16" s="242">
        <f>E16+'Saldos - 03-2025'!F16</f>
        <v>-326.29000000000002</v>
      </c>
    </row>
    <row r="17" spans="2:8" x14ac:dyDescent="0.25">
      <c r="B17" s="397" t="s">
        <v>439</v>
      </c>
      <c r="C17" s="398"/>
      <c r="D17" s="398"/>
      <c r="E17" s="110">
        <f>-E13</f>
        <v>-75423794.519999996</v>
      </c>
      <c r="F17" s="111">
        <f>E17+'Saldos - 03-2025'!F17</f>
        <v>-251179268.57999998</v>
      </c>
    </row>
    <row r="18" spans="2:8" ht="15.75" thickBot="1" x14ac:dyDescent="0.3">
      <c r="B18" s="367" t="s">
        <v>440</v>
      </c>
      <c r="C18" s="368"/>
      <c r="D18" s="368"/>
      <c r="E18" s="120">
        <v>0</v>
      </c>
      <c r="F18" s="243">
        <f>E18+'Saldos - 03-2025'!F18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82197614.720000014</v>
      </c>
      <c r="F19" s="122">
        <f>SUM(F14:F18)</f>
        <v>370419483.07000017</v>
      </c>
      <c r="G19" s="313" t="s">
        <v>924</v>
      </c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43487.32</v>
      </c>
      <c r="F22" s="130">
        <f>E22+'Saldos - 03-2025'!F22</f>
        <v>169908.78999999998</v>
      </c>
    </row>
    <row r="23" spans="2:8" x14ac:dyDescent="0.25">
      <c r="B23" s="383" t="s">
        <v>442</v>
      </c>
      <c r="C23" s="384"/>
      <c r="D23" s="384"/>
      <c r="E23" s="109">
        <v>0</v>
      </c>
      <c r="F23" s="131">
        <f>'Saldos - 03-2025'!F23</f>
        <v>0</v>
      </c>
    </row>
    <row r="24" spans="2:8" x14ac:dyDescent="0.25">
      <c r="B24" s="385" t="s">
        <v>438</v>
      </c>
      <c r="C24" s="386"/>
      <c r="D24" s="386"/>
      <c r="E24" s="132">
        <v>40001145.630000003</v>
      </c>
      <c r="F24" s="133">
        <f>E24+'Saldos - 03-2025'!F24</f>
        <v>121864372.38</v>
      </c>
    </row>
    <row r="25" spans="2:8" x14ac:dyDescent="0.25">
      <c r="B25" s="385" t="s">
        <v>433</v>
      </c>
      <c r="C25" s="386"/>
      <c r="D25" s="386"/>
      <c r="E25" s="132">
        <v>0</v>
      </c>
      <c r="F25" s="133">
        <f>E25+'Saldos - 03-2025'!F25</f>
        <v>34311367.489999995</v>
      </c>
    </row>
    <row r="26" spans="2:8" x14ac:dyDescent="0.25">
      <c r="B26" s="385" t="s">
        <v>447</v>
      </c>
      <c r="C26" s="386"/>
      <c r="D26" s="386"/>
      <c r="E26" s="132">
        <v>0</v>
      </c>
      <c r="F26" s="133">
        <f>E26+'Saldos - 03-2025'!F26</f>
        <v>34175581.810000002</v>
      </c>
    </row>
    <row r="27" spans="2:8" x14ac:dyDescent="0.25">
      <c r="B27" s="385" t="s">
        <v>626</v>
      </c>
      <c r="C27" s="386"/>
      <c r="D27" s="386"/>
      <c r="E27" s="132">
        <v>0</v>
      </c>
      <c r="F27" s="133">
        <f>E27+'Saldos - 03-2025'!F27</f>
        <v>33980887.539999999</v>
      </c>
    </row>
    <row r="28" spans="2:8" x14ac:dyDescent="0.25">
      <c r="B28" s="385" t="s">
        <v>632</v>
      </c>
      <c r="C28" s="386"/>
      <c r="D28" s="386"/>
      <c r="E28" s="132">
        <v>35798381.659999996</v>
      </c>
      <c r="F28" s="133">
        <f>E28</f>
        <v>35798381.659999996</v>
      </c>
      <c r="H28" s="94"/>
    </row>
    <row r="29" spans="2:8" x14ac:dyDescent="0.25">
      <c r="B29" s="385" t="s">
        <v>628</v>
      </c>
      <c r="C29" s="386"/>
      <c r="D29" s="386"/>
      <c r="E29" s="132">
        <v>0</v>
      </c>
      <c r="F29" s="133">
        <f>E29+'Saldos - 03-2025'!F28</f>
        <v>15697875.6</v>
      </c>
      <c r="H29" s="94"/>
    </row>
    <row r="30" spans="2:8" x14ac:dyDescent="0.25">
      <c r="B30" s="385" t="s">
        <v>629</v>
      </c>
      <c r="C30" s="386"/>
      <c r="D30" s="386"/>
      <c r="E30" s="132">
        <v>0</v>
      </c>
      <c r="F30" s="133">
        <f>E30+'Saldos - 03-2025'!F29</f>
        <v>164645.69</v>
      </c>
    </row>
    <row r="31" spans="2:8" x14ac:dyDescent="0.25">
      <c r="B31" s="385" t="s">
        <v>630</v>
      </c>
      <c r="C31" s="386"/>
      <c r="D31" s="386"/>
      <c r="E31" s="154">
        <v>667.56</v>
      </c>
      <c r="F31" s="133">
        <f>E31+'Saldos - 03-2025'!F30</f>
        <v>3671.5799999999995</v>
      </c>
    </row>
    <row r="32" spans="2:8" x14ac:dyDescent="0.25">
      <c r="B32" s="385" t="s">
        <v>631</v>
      </c>
      <c r="C32" s="386"/>
      <c r="D32" s="386"/>
      <c r="E32" s="154">
        <v>0</v>
      </c>
      <c r="F32" s="133">
        <f>E32+'Saldos - 03-2025'!F31</f>
        <v>20059.12</v>
      </c>
    </row>
    <row r="33" spans="2:8" x14ac:dyDescent="0.25">
      <c r="B33" s="387" t="s">
        <v>451</v>
      </c>
      <c r="C33" s="388"/>
      <c r="D33" s="388"/>
      <c r="E33" s="134">
        <v>0</v>
      </c>
      <c r="F33" s="135">
        <f>E33+'Saldos - 03-2025'!F32</f>
        <v>7490.51</v>
      </c>
    </row>
    <row r="34" spans="2:8" ht="15.75" thickBot="1" x14ac:dyDescent="0.3">
      <c r="B34" s="389" t="s">
        <v>444</v>
      </c>
      <c r="C34" s="390"/>
      <c r="D34" s="390"/>
      <c r="E34" s="136">
        <v>81821318.319999993</v>
      </c>
      <c r="F34" s="137">
        <f>E34+'Saldos - 03-2025'!F33</f>
        <v>345739390.25</v>
      </c>
      <c r="H34" s="123">
        <f>'Extrato 04-2025'!C2+'Extrato 03-2025'!C2+'Extrato 02-2025'!C2+'Extrato 01-2025'!C2-F35</f>
        <v>0</v>
      </c>
    </row>
    <row r="35" spans="2:8" ht="15.75" thickBot="1" x14ac:dyDescent="0.3">
      <c r="B35" s="391" t="s">
        <v>418</v>
      </c>
      <c r="C35" s="392"/>
      <c r="D35" s="392"/>
      <c r="E35" s="127">
        <f>SUM(E22:E34)</f>
        <v>157665000.49000001</v>
      </c>
      <c r="F35" s="138">
        <f>SUM(F22:F34)</f>
        <v>621933632.41999996</v>
      </c>
      <c r="G35" s="313" t="s">
        <v>924</v>
      </c>
      <c r="H35" s="123">
        <f>E35-E14</f>
        <v>0</v>
      </c>
    </row>
    <row r="36" spans="2:8" x14ac:dyDescent="0.25">
      <c r="B36" s="374" t="s">
        <v>419</v>
      </c>
      <c r="C36" s="375"/>
      <c r="D36" s="376"/>
      <c r="E36" s="112">
        <f>-E22</f>
        <v>-43487.32</v>
      </c>
      <c r="F36" s="139">
        <f>E36+'Saldos - 03-2025'!F35</f>
        <v>-169908.78999999998</v>
      </c>
    </row>
    <row r="37" spans="2:8" x14ac:dyDescent="0.25">
      <c r="B37" s="377" t="s">
        <v>420</v>
      </c>
      <c r="C37" s="378"/>
      <c r="D37" s="379"/>
      <c r="E37" s="118">
        <f>-E34</f>
        <v>-81821318.319999993</v>
      </c>
      <c r="F37" s="247">
        <f>E37+'Saldos - 03-2025'!F36</f>
        <v>-345739390.25</v>
      </c>
    </row>
    <row r="38" spans="2:8" x14ac:dyDescent="0.25">
      <c r="B38" s="367" t="s">
        <v>454</v>
      </c>
      <c r="C38" s="368"/>
      <c r="D38" s="368"/>
      <c r="E38" s="109">
        <v>-103.93</v>
      </c>
      <c r="F38" s="246">
        <f>E38+'Saldos - 03-2025'!F37</f>
        <v>-215.11</v>
      </c>
    </row>
    <row r="39" spans="2:8" x14ac:dyDescent="0.25">
      <c r="B39" s="380" t="s">
        <v>453</v>
      </c>
      <c r="C39" s="381"/>
      <c r="D39" s="382"/>
      <c r="E39" s="134">
        <f>-E33</f>
        <v>0</v>
      </c>
      <c r="F39" s="245">
        <f>E39+'Saldos - 03-2025'!F38</f>
        <v>-7490.51</v>
      </c>
      <c r="G39" s="312"/>
    </row>
    <row r="40" spans="2:8" x14ac:dyDescent="0.25">
      <c r="B40" s="383" t="s">
        <v>423</v>
      </c>
      <c r="C40" s="384"/>
      <c r="D40" s="384"/>
      <c r="E40" s="116">
        <v>-48866.78</v>
      </c>
      <c r="F40" s="246">
        <f>E40+'Saldos - 03-2025'!F39</f>
        <v>-34224448.590000004</v>
      </c>
      <c r="G40" s="312"/>
      <c r="H40" s="123"/>
    </row>
    <row r="41" spans="2:8" x14ac:dyDescent="0.25">
      <c r="B41" s="383" t="s">
        <v>455</v>
      </c>
      <c r="C41" s="384"/>
      <c r="D41" s="384"/>
      <c r="E41" s="116"/>
      <c r="F41" s="246">
        <f>E41+'Saldos - 03-2025'!F40</f>
        <v>-164645.69</v>
      </c>
    </row>
    <row r="42" spans="2:8" x14ac:dyDescent="0.25">
      <c r="B42" s="383" t="s">
        <v>458</v>
      </c>
      <c r="C42" s="384"/>
      <c r="D42" s="384"/>
      <c r="E42" s="116"/>
      <c r="F42" s="246">
        <f>E42+'Saldos - 03-2025'!F41</f>
        <v>-20059.12</v>
      </c>
      <c r="G42" s="312"/>
      <c r="H42" s="123"/>
    </row>
    <row r="43" spans="2:8" ht="15.75" customHeight="1" x14ac:dyDescent="0.25">
      <c r="B43" s="367" t="s">
        <v>456</v>
      </c>
      <c r="C43" s="368"/>
      <c r="D43" s="368"/>
      <c r="E43" s="116"/>
      <c r="F43" s="246">
        <f>E43+'Saldos - 03-2025'!F42</f>
        <v>34223471.030000001</v>
      </c>
      <c r="H43" s="123"/>
    </row>
    <row r="44" spans="2:8" x14ac:dyDescent="0.25">
      <c r="B44" s="367" t="s">
        <v>483</v>
      </c>
      <c r="C44" s="368"/>
      <c r="D44" s="368"/>
      <c r="E44" s="116"/>
      <c r="F44" s="246">
        <f>E44+'Saldos - 03-2025'!F43</f>
        <v>-667.56</v>
      </c>
      <c r="H44" s="123"/>
    </row>
    <row r="45" spans="2:8" ht="15.75" thickBot="1" x14ac:dyDescent="0.3">
      <c r="B45" s="369" t="s">
        <v>424</v>
      </c>
      <c r="C45" s="369"/>
      <c r="D45" s="370"/>
      <c r="E45" s="145">
        <f>SUM(E35:E44)</f>
        <v>75751224.140000015</v>
      </c>
      <c r="F45" s="146">
        <f>SUM(F35:F44)</f>
        <v>275830277.82999998</v>
      </c>
      <c r="G45" s="312" t="s">
        <v>924</v>
      </c>
      <c r="H45" s="123"/>
    </row>
    <row r="46" spans="2:8" x14ac:dyDescent="0.25">
      <c r="B46" s="124"/>
      <c r="D46" s="125"/>
      <c r="E46" s="147"/>
      <c r="F46" s="123"/>
    </row>
    <row r="47" spans="2:8" x14ac:dyDescent="0.25">
      <c r="B47" s="371" t="s">
        <v>425</v>
      </c>
      <c r="C47" s="372"/>
      <c r="D47" s="373"/>
      <c r="E47" s="148"/>
      <c r="F47" s="123"/>
    </row>
    <row r="48" spans="2:8" x14ac:dyDescent="0.25">
      <c r="B48" s="364" t="s">
        <v>426</v>
      </c>
      <c r="C48" s="365"/>
      <c r="D48" s="366"/>
      <c r="E48" s="149">
        <f>'Saldos - 03-2025'!E51</f>
        <v>105507035.48999999</v>
      </c>
      <c r="F48" s="123"/>
    </row>
    <row r="49" spans="2:6" x14ac:dyDescent="0.25">
      <c r="B49" s="364" t="s">
        <v>427</v>
      </c>
      <c r="C49" s="365"/>
      <c r="D49" s="366"/>
      <c r="E49" s="150">
        <v>81821318.319999993</v>
      </c>
    </row>
    <row r="50" spans="2:6" x14ac:dyDescent="0.25">
      <c r="B50" s="364" t="s">
        <v>428</v>
      </c>
      <c r="C50" s="365"/>
      <c r="D50" s="366"/>
      <c r="E50" s="149">
        <v>75423794.519999996</v>
      </c>
    </row>
    <row r="51" spans="2:6" x14ac:dyDescent="0.25">
      <c r="B51" s="364" t="s">
        <v>429</v>
      </c>
      <c r="C51" s="365"/>
      <c r="D51" s="366"/>
      <c r="E51" s="149">
        <v>774482.43</v>
      </c>
      <c r="F51" s="94"/>
    </row>
    <row r="52" spans="2:6" x14ac:dyDescent="0.25">
      <c r="B52" s="364" t="s">
        <v>430</v>
      </c>
      <c r="C52" s="365"/>
      <c r="D52" s="366"/>
      <c r="E52" s="151">
        <f>E48+E49-E50+E51</f>
        <v>112679041.72000001</v>
      </c>
      <c r="F52" s="123"/>
    </row>
    <row r="53" spans="2:6" x14ac:dyDescent="0.25">
      <c r="B53" s="152"/>
      <c r="C53" s="93"/>
      <c r="D53" s="93"/>
      <c r="E53" s="153"/>
    </row>
  </sheetData>
  <mergeCells count="47">
    <mergeCell ref="B50:D50"/>
    <mergeCell ref="B51:D51"/>
    <mergeCell ref="B52:D52"/>
    <mergeCell ref="B27:D27"/>
    <mergeCell ref="B28:D28"/>
    <mergeCell ref="B43:D43"/>
    <mergeCell ref="B44:D44"/>
    <mergeCell ref="B45:D45"/>
    <mergeCell ref="B47:D47"/>
    <mergeCell ref="B48:D48"/>
    <mergeCell ref="B49:D49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30:D30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9:D29"/>
    <mergeCell ref="B15:D15"/>
    <mergeCell ref="B2:F2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</mergeCells>
  <phoneticPr fontId="11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945A-E6D0-4881-8474-6B5C3E56C2E8}">
  <sheetPr>
    <pageSetUpPr fitToPage="1"/>
  </sheetPr>
  <dimension ref="C2:L32"/>
  <sheetViews>
    <sheetView zoomScale="85" zoomScaleNormal="85" workbookViewId="0">
      <selection activeCell="C16" sqref="C16"/>
    </sheetView>
  </sheetViews>
  <sheetFormatPr defaultRowHeight="15" x14ac:dyDescent="0.25"/>
  <cols>
    <col min="1" max="1" width="1.42578125" style="62" customWidth="1"/>
    <col min="2" max="2" width="1.85546875" style="62" customWidth="1"/>
    <col min="3" max="3" width="59.85546875" style="62" customWidth="1"/>
    <col min="4" max="4" width="18" style="157" bestFit="1" customWidth="1"/>
    <col min="5" max="5" width="14.5703125" style="62" hidden="1" customWidth="1"/>
    <col min="6" max="6" width="0" style="62" hidden="1" customWidth="1"/>
    <col min="7" max="7" width="16.85546875" style="62" hidden="1" customWidth="1"/>
    <col min="8" max="8" width="2.140625" style="62" customWidth="1"/>
    <col min="9" max="9" width="18" style="62" bestFit="1" customWidth="1"/>
    <col min="10" max="10" width="9.140625" style="62"/>
    <col min="11" max="11" width="14.28515625" style="62" bestFit="1" customWidth="1"/>
    <col min="12" max="12" width="20.85546875" style="62" customWidth="1"/>
    <col min="13" max="256" width="9.140625" style="62"/>
    <col min="257" max="257" width="1.42578125" style="62" customWidth="1"/>
    <col min="258" max="258" width="1.85546875" style="62" customWidth="1"/>
    <col min="259" max="259" width="59.85546875" style="62" customWidth="1"/>
    <col min="260" max="260" width="18" style="62" bestFit="1" customWidth="1"/>
    <col min="261" max="263" width="0" style="62" hidden="1" customWidth="1"/>
    <col min="264" max="264" width="2.140625" style="62" customWidth="1"/>
    <col min="265" max="265" width="18" style="62" bestFit="1" customWidth="1"/>
    <col min="266" max="512" width="9.140625" style="62"/>
    <col min="513" max="513" width="1.42578125" style="62" customWidth="1"/>
    <col min="514" max="514" width="1.85546875" style="62" customWidth="1"/>
    <col min="515" max="515" width="59.85546875" style="62" customWidth="1"/>
    <col min="516" max="516" width="18" style="62" bestFit="1" customWidth="1"/>
    <col min="517" max="519" width="0" style="62" hidden="1" customWidth="1"/>
    <col min="520" max="520" width="2.140625" style="62" customWidth="1"/>
    <col min="521" max="521" width="18" style="62" bestFit="1" customWidth="1"/>
    <col min="522" max="768" width="9.140625" style="62"/>
    <col min="769" max="769" width="1.42578125" style="62" customWidth="1"/>
    <col min="770" max="770" width="1.85546875" style="62" customWidth="1"/>
    <col min="771" max="771" width="59.85546875" style="62" customWidth="1"/>
    <col min="772" max="772" width="18" style="62" bestFit="1" customWidth="1"/>
    <col min="773" max="775" width="0" style="62" hidden="1" customWidth="1"/>
    <col min="776" max="776" width="2.140625" style="62" customWidth="1"/>
    <col min="777" max="777" width="18" style="62" bestFit="1" customWidth="1"/>
    <col min="778" max="1024" width="9.140625" style="62"/>
    <col min="1025" max="1025" width="1.42578125" style="62" customWidth="1"/>
    <col min="1026" max="1026" width="1.85546875" style="62" customWidth="1"/>
    <col min="1027" max="1027" width="59.85546875" style="62" customWidth="1"/>
    <col min="1028" max="1028" width="18" style="62" bestFit="1" customWidth="1"/>
    <col min="1029" max="1031" width="0" style="62" hidden="1" customWidth="1"/>
    <col min="1032" max="1032" width="2.140625" style="62" customWidth="1"/>
    <col min="1033" max="1033" width="18" style="62" bestFit="1" customWidth="1"/>
    <col min="1034" max="1280" width="9.140625" style="62"/>
    <col min="1281" max="1281" width="1.42578125" style="62" customWidth="1"/>
    <col min="1282" max="1282" width="1.85546875" style="62" customWidth="1"/>
    <col min="1283" max="1283" width="59.85546875" style="62" customWidth="1"/>
    <col min="1284" max="1284" width="18" style="62" bestFit="1" customWidth="1"/>
    <col min="1285" max="1287" width="0" style="62" hidden="1" customWidth="1"/>
    <col min="1288" max="1288" width="2.140625" style="62" customWidth="1"/>
    <col min="1289" max="1289" width="18" style="62" bestFit="1" customWidth="1"/>
    <col min="1290" max="1536" width="9.140625" style="62"/>
    <col min="1537" max="1537" width="1.42578125" style="62" customWidth="1"/>
    <col min="1538" max="1538" width="1.85546875" style="62" customWidth="1"/>
    <col min="1539" max="1539" width="59.85546875" style="62" customWidth="1"/>
    <col min="1540" max="1540" width="18" style="62" bestFit="1" customWidth="1"/>
    <col min="1541" max="1543" width="0" style="62" hidden="1" customWidth="1"/>
    <col min="1544" max="1544" width="2.140625" style="62" customWidth="1"/>
    <col min="1545" max="1545" width="18" style="62" bestFit="1" customWidth="1"/>
    <col min="1546" max="1792" width="9.140625" style="62"/>
    <col min="1793" max="1793" width="1.42578125" style="62" customWidth="1"/>
    <col min="1794" max="1794" width="1.85546875" style="62" customWidth="1"/>
    <col min="1795" max="1795" width="59.85546875" style="62" customWidth="1"/>
    <col min="1796" max="1796" width="18" style="62" bestFit="1" customWidth="1"/>
    <col min="1797" max="1799" width="0" style="62" hidden="1" customWidth="1"/>
    <col min="1800" max="1800" width="2.140625" style="62" customWidth="1"/>
    <col min="1801" max="1801" width="18" style="62" bestFit="1" customWidth="1"/>
    <col min="1802" max="2048" width="9.140625" style="62"/>
    <col min="2049" max="2049" width="1.42578125" style="62" customWidth="1"/>
    <col min="2050" max="2050" width="1.85546875" style="62" customWidth="1"/>
    <col min="2051" max="2051" width="59.85546875" style="62" customWidth="1"/>
    <col min="2052" max="2052" width="18" style="62" bestFit="1" customWidth="1"/>
    <col min="2053" max="2055" width="0" style="62" hidden="1" customWidth="1"/>
    <col min="2056" max="2056" width="2.140625" style="62" customWidth="1"/>
    <col min="2057" max="2057" width="18" style="62" bestFit="1" customWidth="1"/>
    <col min="2058" max="2304" width="9.140625" style="62"/>
    <col min="2305" max="2305" width="1.42578125" style="62" customWidth="1"/>
    <col min="2306" max="2306" width="1.85546875" style="62" customWidth="1"/>
    <col min="2307" max="2307" width="59.85546875" style="62" customWidth="1"/>
    <col min="2308" max="2308" width="18" style="62" bestFit="1" customWidth="1"/>
    <col min="2309" max="2311" width="0" style="62" hidden="1" customWidth="1"/>
    <col min="2312" max="2312" width="2.140625" style="62" customWidth="1"/>
    <col min="2313" max="2313" width="18" style="62" bestFit="1" customWidth="1"/>
    <col min="2314" max="2560" width="9.140625" style="62"/>
    <col min="2561" max="2561" width="1.42578125" style="62" customWidth="1"/>
    <col min="2562" max="2562" width="1.85546875" style="62" customWidth="1"/>
    <col min="2563" max="2563" width="59.85546875" style="62" customWidth="1"/>
    <col min="2564" max="2564" width="18" style="62" bestFit="1" customWidth="1"/>
    <col min="2565" max="2567" width="0" style="62" hidden="1" customWidth="1"/>
    <col min="2568" max="2568" width="2.140625" style="62" customWidth="1"/>
    <col min="2569" max="2569" width="18" style="62" bestFit="1" customWidth="1"/>
    <col min="2570" max="2816" width="9.140625" style="62"/>
    <col min="2817" max="2817" width="1.42578125" style="62" customWidth="1"/>
    <col min="2818" max="2818" width="1.85546875" style="62" customWidth="1"/>
    <col min="2819" max="2819" width="59.85546875" style="62" customWidth="1"/>
    <col min="2820" max="2820" width="18" style="62" bestFit="1" customWidth="1"/>
    <col min="2821" max="2823" width="0" style="62" hidden="1" customWidth="1"/>
    <col min="2824" max="2824" width="2.140625" style="62" customWidth="1"/>
    <col min="2825" max="2825" width="18" style="62" bestFit="1" customWidth="1"/>
    <col min="2826" max="3072" width="9.140625" style="62"/>
    <col min="3073" max="3073" width="1.42578125" style="62" customWidth="1"/>
    <col min="3074" max="3074" width="1.85546875" style="62" customWidth="1"/>
    <col min="3075" max="3075" width="59.85546875" style="62" customWidth="1"/>
    <col min="3076" max="3076" width="18" style="62" bestFit="1" customWidth="1"/>
    <col min="3077" max="3079" width="0" style="62" hidden="1" customWidth="1"/>
    <col min="3080" max="3080" width="2.140625" style="62" customWidth="1"/>
    <col min="3081" max="3081" width="18" style="62" bestFit="1" customWidth="1"/>
    <col min="3082" max="3328" width="9.140625" style="62"/>
    <col min="3329" max="3329" width="1.42578125" style="62" customWidth="1"/>
    <col min="3330" max="3330" width="1.85546875" style="62" customWidth="1"/>
    <col min="3331" max="3331" width="59.85546875" style="62" customWidth="1"/>
    <col min="3332" max="3332" width="18" style="62" bestFit="1" customWidth="1"/>
    <col min="3333" max="3335" width="0" style="62" hidden="1" customWidth="1"/>
    <col min="3336" max="3336" width="2.140625" style="62" customWidth="1"/>
    <col min="3337" max="3337" width="18" style="62" bestFit="1" customWidth="1"/>
    <col min="3338" max="3584" width="9.140625" style="62"/>
    <col min="3585" max="3585" width="1.42578125" style="62" customWidth="1"/>
    <col min="3586" max="3586" width="1.85546875" style="62" customWidth="1"/>
    <col min="3587" max="3587" width="59.85546875" style="62" customWidth="1"/>
    <col min="3588" max="3588" width="18" style="62" bestFit="1" customWidth="1"/>
    <col min="3589" max="3591" width="0" style="62" hidden="1" customWidth="1"/>
    <col min="3592" max="3592" width="2.140625" style="62" customWidth="1"/>
    <col min="3593" max="3593" width="18" style="62" bestFit="1" customWidth="1"/>
    <col min="3594" max="3840" width="9.140625" style="62"/>
    <col min="3841" max="3841" width="1.42578125" style="62" customWidth="1"/>
    <col min="3842" max="3842" width="1.85546875" style="62" customWidth="1"/>
    <col min="3843" max="3843" width="59.85546875" style="62" customWidth="1"/>
    <col min="3844" max="3844" width="18" style="62" bestFit="1" customWidth="1"/>
    <col min="3845" max="3847" width="0" style="62" hidden="1" customWidth="1"/>
    <col min="3848" max="3848" width="2.140625" style="62" customWidth="1"/>
    <col min="3849" max="3849" width="18" style="62" bestFit="1" customWidth="1"/>
    <col min="3850" max="4096" width="9.140625" style="62"/>
    <col min="4097" max="4097" width="1.42578125" style="62" customWidth="1"/>
    <col min="4098" max="4098" width="1.85546875" style="62" customWidth="1"/>
    <col min="4099" max="4099" width="59.85546875" style="62" customWidth="1"/>
    <col min="4100" max="4100" width="18" style="62" bestFit="1" customWidth="1"/>
    <col min="4101" max="4103" width="0" style="62" hidden="1" customWidth="1"/>
    <col min="4104" max="4104" width="2.140625" style="62" customWidth="1"/>
    <col min="4105" max="4105" width="18" style="62" bestFit="1" customWidth="1"/>
    <col min="4106" max="4352" width="9.140625" style="62"/>
    <col min="4353" max="4353" width="1.42578125" style="62" customWidth="1"/>
    <col min="4354" max="4354" width="1.85546875" style="62" customWidth="1"/>
    <col min="4355" max="4355" width="59.85546875" style="62" customWidth="1"/>
    <col min="4356" max="4356" width="18" style="62" bestFit="1" customWidth="1"/>
    <col min="4357" max="4359" width="0" style="62" hidden="1" customWidth="1"/>
    <col min="4360" max="4360" width="2.140625" style="62" customWidth="1"/>
    <col min="4361" max="4361" width="18" style="62" bestFit="1" customWidth="1"/>
    <col min="4362" max="4608" width="9.140625" style="62"/>
    <col min="4609" max="4609" width="1.42578125" style="62" customWidth="1"/>
    <col min="4610" max="4610" width="1.85546875" style="62" customWidth="1"/>
    <col min="4611" max="4611" width="59.85546875" style="62" customWidth="1"/>
    <col min="4612" max="4612" width="18" style="62" bestFit="1" customWidth="1"/>
    <col min="4613" max="4615" width="0" style="62" hidden="1" customWidth="1"/>
    <col min="4616" max="4616" width="2.140625" style="62" customWidth="1"/>
    <col min="4617" max="4617" width="18" style="62" bestFit="1" customWidth="1"/>
    <col min="4618" max="4864" width="9.140625" style="62"/>
    <col min="4865" max="4865" width="1.42578125" style="62" customWidth="1"/>
    <col min="4866" max="4866" width="1.85546875" style="62" customWidth="1"/>
    <col min="4867" max="4867" width="59.85546875" style="62" customWidth="1"/>
    <col min="4868" max="4868" width="18" style="62" bestFit="1" customWidth="1"/>
    <col min="4869" max="4871" width="0" style="62" hidden="1" customWidth="1"/>
    <col min="4872" max="4872" width="2.140625" style="62" customWidth="1"/>
    <col min="4873" max="4873" width="18" style="62" bestFit="1" customWidth="1"/>
    <col min="4874" max="5120" width="9.140625" style="62"/>
    <col min="5121" max="5121" width="1.42578125" style="62" customWidth="1"/>
    <col min="5122" max="5122" width="1.85546875" style="62" customWidth="1"/>
    <col min="5123" max="5123" width="59.85546875" style="62" customWidth="1"/>
    <col min="5124" max="5124" width="18" style="62" bestFit="1" customWidth="1"/>
    <col min="5125" max="5127" width="0" style="62" hidden="1" customWidth="1"/>
    <col min="5128" max="5128" width="2.140625" style="62" customWidth="1"/>
    <col min="5129" max="5129" width="18" style="62" bestFit="1" customWidth="1"/>
    <col min="5130" max="5376" width="9.140625" style="62"/>
    <col min="5377" max="5377" width="1.42578125" style="62" customWidth="1"/>
    <col min="5378" max="5378" width="1.85546875" style="62" customWidth="1"/>
    <col min="5379" max="5379" width="59.85546875" style="62" customWidth="1"/>
    <col min="5380" max="5380" width="18" style="62" bestFit="1" customWidth="1"/>
    <col min="5381" max="5383" width="0" style="62" hidden="1" customWidth="1"/>
    <col min="5384" max="5384" width="2.140625" style="62" customWidth="1"/>
    <col min="5385" max="5385" width="18" style="62" bestFit="1" customWidth="1"/>
    <col min="5386" max="5632" width="9.140625" style="62"/>
    <col min="5633" max="5633" width="1.42578125" style="62" customWidth="1"/>
    <col min="5634" max="5634" width="1.85546875" style="62" customWidth="1"/>
    <col min="5635" max="5635" width="59.85546875" style="62" customWidth="1"/>
    <col min="5636" max="5636" width="18" style="62" bestFit="1" customWidth="1"/>
    <col min="5637" max="5639" width="0" style="62" hidden="1" customWidth="1"/>
    <col min="5640" max="5640" width="2.140625" style="62" customWidth="1"/>
    <col min="5641" max="5641" width="18" style="62" bestFit="1" customWidth="1"/>
    <col min="5642" max="5888" width="9.140625" style="62"/>
    <col min="5889" max="5889" width="1.42578125" style="62" customWidth="1"/>
    <col min="5890" max="5890" width="1.85546875" style="62" customWidth="1"/>
    <col min="5891" max="5891" width="59.85546875" style="62" customWidth="1"/>
    <col min="5892" max="5892" width="18" style="62" bestFit="1" customWidth="1"/>
    <col min="5893" max="5895" width="0" style="62" hidden="1" customWidth="1"/>
    <col min="5896" max="5896" width="2.140625" style="62" customWidth="1"/>
    <col min="5897" max="5897" width="18" style="62" bestFit="1" customWidth="1"/>
    <col min="5898" max="6144" width="9.140625" style="62"/>
    <col min="6145" max="6145" width="1.42578125" style="62" customWidth="1"/>
    <col min="6146" max="6146" width="1.85546875" style="62" customWidth="1"/>
    <col min="6147" max="6147" width="59.85546875" style="62" customWidth="1"/>
    <col min="6148" max="6148" width="18" style="62" bestFit="1" customWidth="1"/>
    <col min="6149" max="6151" width="0" style="62" hidden="1" customWidth="1"/>
    <col min="6152" max="6152" width="2.140625" style="62" customWidth="1"/>
    <col min="6153" max="6153" width="18" style="62" bestFit="1" customWidth="1"/>
    <col min="6154" max="6400" width="9.140625" style="62"/>
    <col min="6401" max="6401" width="1.42578125" style="62" customWidth="1"/>
    <col min="6402" max="6402" width="1.85546875" style="62" customWidth="1"/>
    <col min="6403" max="6403" width="59.85546875" style="62" customWidth="1"/>
    <col min="6404" max="6404" width="18" style="62" bestFit="1" customWidth="1"/>
    <col min="6405" max="6407" width="0" style="62" hidden="1" customWidth="1"/>
    <col min="6408" max="6408" width="2.140625" style="62" customWidth="1"/>
    <col min="6409" max="6409" width="18" style="62" bestFit="1" customWidth="1"/>
    <col min="6410" max="6656" width="9.140625" style="62"/>
    <col min="6657" max="6657" width="1.42578125" style="62" customWidth="1"/>
    <col min="6658" max="6658" width="1.85546875" style="62" customWidth="1"/>
    <col min="6659" max="6659" width="59.85546875" style="62" customWidth="1"/>
    <col min="6660" max="6660" width="18" style="62" bestFit="1" customWidth="1"/>
    <col min="6661" max="6663" width="0" style="62" hidden="1" customWidth="1"/>
    <col min="6664" max="6664" width="2.140625" style="62" customWidth="1"/>
    <col min="6665" max="6665" width="18" style="62" bestFit="1" customWidth="1"/>
    <col min="6666" max="6912" width="9.140625" style="62"/>
    <col min="6913" max="6913" width="1.42578125" style="62" customWidth="1"/>
    <col min="6914" max="6914" width="1.85546875" style="62" customWidth="1"/>
    <col min="6915" max="6915" width="59.85546875" style="62" customWidth="1"/>
    <col min="6916" max="6916" width="18" style="62" bestFit="1" customWidth="1"/>
    <col min="6917" max="6919" width="0" style="62" hidden="1" customWidth="1"/>
    <col min="6920" max="6920" width="2.140625" style="62" customWidth="1"/>
    <col min="6921" max="6921" width="18" style="62" bestFit="1" customWidth="1"/>
    <col min="6922" max="7168" width="9.140625" style="62"/>
    <col min="7169" max="7169" width="1.42578125" style="62" customWidth="1"/>
    <col min="7170" max="7170" width="1.85546875" style="62" customWidth="1"/>
    <col min="7171" max="7171" width="59.85546875" style="62" customWidth="1"/>
    <col min="7172" max="7172" width="18" style="62" bestFit="1" customWidth="1"/>
    <col min="7173" max="7175" width="0" style="62" hidden="1" customWidth="1"/>
    <col min="7176" max="7176" width="2.140625" style="62" customWidth="1"/>
    <col min="7177" max="7177" width="18" style="62" bestFit="1" customWidth="1"/>
    <col min="7178" max="7424" width="9.140625" style="62"/>
    <col min="7425" max="7425" width="1.42578125" style="62" customWidth="1"/>
    <col min="7426" max="7426" width="1.85546875" style="62" customWidth="1"/>
    <col min="7427" max="7427" width="59.85546875" style="62" customWidth="1"/>
    <col min="7428" max="7428" width="18" style="62" bestFit="1" customWidth="1"/>
    <col min="7429" max="7431" width="0" style="62" hidden="1" customWidth="1"/>
    <col min="7432" max="7432" width="2.140625" style="62" customWidth="1"/>
    <col min="7433" max="7433" width="18" style="62" bestFit="1" customWidth="1"/>
    <col min="7434" max="7680" width="9.140625" style="62"/>
    <col min="7681" max="7681" width="1.42578125" style="62" customWidth="1"/>
    <col min="7682" max="7682" width="1.85546875" style="62" customWidth="1"/>
    <col min="7683" max="7683" width="59.85546875" style="62" customWidth="1"/>
    <col min="7684" max="7684" width="18" style="62" bestFit="1" customWidth="1"/>
    <col min="7685" max="7687" width="0" style="62" hidden="1" customWidth="1"/>
    <col min="7688" max="7688" width="2.140625" style="62" customWidth="1"/>
    <col min="7689" max="7689" width="18" style="62" bestFit="1" customWidth="1"/>
    <col min="7690" max="7936" width="9.140625" style="62"/>
    <col min="7937" max="7937" width="1.42578125" style="62" customWidth="1"/>
    <col min="7938" max="7938" width="1.85546875" style="62" customWidth="1"/>
    <col min="7939" max="7939" width="59.85546875" style="62" customWidth="1"/>
    <col min="7940" max="7940" width="18" style="62" bestFit="1" customWidth="1"/>
    <col min="7941" max="7943" width="0" style="62" hidden="1" customWidth="1"/>
    <col min="7944" max="7944" width="2.140625" style="62" customWidth="1"/>
    <col min="7945" max="7945" width="18" style="62" bestFit="1" customWidth="1"/>
    <col min="7946" max="8192" width="9.140625" style="62"/>
    <col min="8193" max="8193" width="1.42578125" style="62" customWidth="1"/>
    <col min="8194" max="8194" width="1.85546875" style="62" customWidth="1"/>
    <col min="8195" max="8195" width="59.85546875" style="62" customWidth="1"/>
    <col min="8196" max="8196" width="18" style="62" bestFit="1" customWidth="1"/>
    <col min="8197" max="8199" width="0" style="62" hidden="1" customWidth="1"/>
    <col min="8200" max="8200" width="2.140625" style="62" customWidth="1"/>
    <col min="8201" max="8201" width="18" style="62" bestFit="1" customWidth="1"/>
    <col min="8202" max="8448" width="9.140625" style="62"/>
    <col min="8449" max="8449" width="1.42578125" style="62" customWidth="1"/>
    <col min="8450" max="8450" width="1.85546875" style="62" customWidth="1"/>
    <col min="8451" max="8451" width="59.85546875" style="62" customWidth="1"/>
    <col min="8452" max="8452" width="18" style="62" bestFit="1" customWidth="1"/>
    <col min="8453" max="8455" width="0" style="62" hidden="1" customWidth="1"/>
    <col min="8456" max="8456" width="2.140625" style="62" customWidth="1"/>
    <col min="8457" max="8457" width="18" style="62" bestFit="1" customWidth="1"/>
    <col min="8458" max="8704" width="9.140625" style="62"/>
    <col min="8705" max="8705" width="1.42578125" style="62" customWidth="1"/>
    <col min="8706" max="8706" width="1.85546875" style="62" customWidth="1"/>
    <col min="8707" max="8707" width="59.85546875" style="62" customWidth="1"/>
    <col min="8708" max="8708" width="18" style="62" bestFit="1" customWidth="1"/>
    <col min="8709" max="8711" width="0" style="62" hidden="1" customWidth="1"/>
    <col min="8712" max="8712" width="2.140625" style="62" customWidth="1"/>
    <col min="8713" max="8713" width="18" style="62" bestFit="1" customWidth="1"/>
    <col min="8714" max="8960" width="9.140625" style="62"/>
    <col min="8961" max="8961" width="1.42578125" style="62" customWidth="1"/>
    <col min="8962" max="8962" width="1.85546875" style="62" customWidth="1"/>
    <col min="8963" max="8963" width="59.85546875" style="62" customWidth="1"/>
    <col min="8964" max="8964" width="18" style="62" bestFit="1" customWidth="1"/>
    <col min="8965" max="8967" width="0" style="62" hidden="1" customWidth="1"/>
    <col min="8968" max="8968" width="2.140625" style="62" customWidth="1"/>
    <col min="8969" max="8969" width="18" style="62" bestFit="1" customWidth="1"/>
    <col min="8970" max="9216" width="9.140625" style="62"/>
    <col min="9217" max="9217" width="1.42578125" style="62" customWidth="1"/>
    <col min="9218" max="9218" width="1.85546875" style="62" customWidth="1"/>
    <col min="9219" max="9219" width="59.85546875" style="62" customWidth="1"/>
    <col min="9220" max="9220" width="18" style="62" bestFit="1" customWidth="1"/>
    <col min="9221" max="9223" width="0" style="62" hidden="1" customWidth="1"/>
    <col min="9224" max="9224" width="2.140625" style="62" customWidth="1"/>
    <col min="9225" max="9225" width="18" style="62" bestFit="1" customWidth="1"/>
    <col min="9226" max="9472" width="9.140625" style="62"/>
    <col min="9473" max="9473" width="1.42578125" style="62" customWidth="1"/>
    <col min="9474" max="9474" width="1.85546875" style="62" customWidth="1"/>
    <col min="9475" max="9475" width="59.85546875" style="62" customWidth="1"/>
    <col min="9476" max="9476" width="18" style="62" bestFit="1" customWidth="1"/>
    <col min="9477" max="9479" width="0" style="62" hidden="1" customWidth="1"/>
    <col min="9480" max="9480" width="2.140625" style="62" customWidth="1"/>
    <col min="9481" max="9481" width="18" style="62" bestFit="1" customWidth="1"/>
    <col min="9482" max="9728" width="9.140625" style="62"/>
    <col min="9729" max="9729" width="1.42578125" style="62" customWidth="1"/>
    <col min="9730" max="9730" width="1.85546875" style="62" customWidth="1"/>
    <col min="9731" max="9731" width="59.85546875" style="62" customWidth="1"/>
    <col min="9732" max="9732" width="18" style="62" bestFit="1" customWidth="1"/>
    <col min="9733" max="9735" width="0" style="62" hidden="1" customWidth="1"/>
    <col min="9736" max="9736" width="2.140625" style="62" customWidth="1"/>
    <col min="9737" max="9737" width="18" style="62" bestFit="1" customWidth="1"/>
    <col min="9738" max="9984" width="9.140625" style="62"/>
    <col min="9985" max="9985" width="1.42578125" style="62" customWidth="1"/>
    <col min="9986" max="9986" width="1.85546875" style="62" customWidth="1"/>
    <col min="9987" max="9987" width="59.85546875" style="62" customWidth="1"/>
    <col min="9988" max="9988" width="18" style="62" bestFit="1" customWidth="1"/>
    <col min="9989" max="9991" width="0" style="62" hidden="1" customWidth="1"/>
    <col min="9992" max="9992" width="2.140625" style="62" customWidth="1"/>
    <col min="9993" max="9993" width="18" style="62" bestFit="1" customWidth="1"/>
    <col min="9994" max="10240" width="9.140625" style="62"/>
    <col min="10241" max="10241" width="1.42578125" style="62" customWidth="1"/>
    <col min="10242" max="10242" width="1.85546875" style="62" customWidth="1"/>
    <col min="10243" max="10243" width="59.85546875" style="62" customWidth="1"/>
    <col min="10244" max="10244" width="18" style="62" bestFit="1" customWidth="1"/>
    <col min="10245" max="10247" width="0" style="62" hidden="1" customWidth="1"/>
    <col min="10248" max="10248" width="2.140625" style="62" customWidth="1"/>
    <col min="10249" max="10249" width="18" style="62" bestFit="1" customWidth="1"/>
    <col min="10250" max="10496" width="9.140625" style="62"/>
    <col min="10497" max="10497" width="1.42578125" style="62" customWidth="1"/>
    <col min="10498" max="10498" width="1.85546875" style="62" customWidth="1"/>
    <col min="10499" max="10499" width="59.85546875" style="62" customWidth="1"/>
    <col min="10500" max="10500" width="18" style="62" bestFit="1" customWidth="1"/>
    <col min="10501" max="10503" width="0" style="62" hidden="1" customWidth="1"/>
    <col min="10504" max="10504" width="2.140625" style="62" customWidth="1"/>
    <col min="10505" max="10505" width="18" style="62" bestFit="1" customWidth="1"/>
    <col min="10506" max="10752" width="9.140625" style="62"/>
    <col min="10753" max="10753" width="1.42578125" style="62" customWidth="1"/>
    <col min="10754" max="10754" width="1.85546875" style="62" customWidth="1"/>
    <col min="10755" max="10755" width="59.85546875" style="62" customWidth="1"/>
    <col min="10756" max="10756" width="18" style="62" bestFit="1" customWidth="1"/>
    <col min="10757" max="10759" width="0" style="62" hidden="1" customWidth="1"/>
    <col min="10760" max="10760" width="2.140625" style="62" customWidth="1"/>
    <col min="10761" max="10761" width="18" style="62" bestFit="1" customWidth="1"/>
    <col min="10762" max="11008" width="9.140625" style="62"/>
    <col min="11009" max="11009" width="1.42578125" style="62" customWidth="1"/>
    <col min="11010" max="11010" width="1.85546875" style="62" customWidth="1"/>
    <col min="11011" max="11011" width="59.85546875" style="62" customWidth="1"/>
    <col min="11012" max="11012" width="18" style="62" bestFit="1" customWidth="1"/>
    <col min="11013" max="11015" width="0" style="62" hidden="1" customWidth="1"/>
    <col min="11016" max="11016" width="2.140625" style="62" customWidth="1"/>
    <col min="11017" max="11017" width="18" style="62" bestFit="1" customWidth="1"/>
    <col min="11018" max="11264" width="9.140625" style="62"/>
    <col min="11265" max="11265" width="1.42578125" style="62" customWidth="1"/>
    <col min="11266" max="11266" width="1.85546875" style="62" customWidth="1"/>
    <col min="11267" max="11267" width="59.85546875" style="62" customWidth="1"/>
    <col min="11268" max="11268" width="18" style="62" bestFit="1" customWidth="1"/>
    <col min="11269" max="11271" width="0" style="62" hidden="1" customWidth="1"/>
    <col min="11272" max="11272" width="2.140625" style="62" customWidth="1"/>
    <col min="11273" max="11273" width="18" style="62" bestFit="1" customWidth="1"/>
    <col min="11274" max="11520" width="9.140625" style="62"/>
    <col min="11521" max="11521" width="1.42578125" style="62" customWidth="1"/>
    <col min="11522" max="11522" width="1.85546875" style="62" customWidth="1"/>
    <col min="11523" max="11523" width="59.85546875" style="62" customWidth="1"/>
    <col min="11524" max="11524" width="18" style="62" bestFit="1" customWidth="1"/>
    <col min="11525" max="11527" width="0" style="62" hidden="1" customWidth="1"/>
    <col min="11528" max="11528" width="2.140625" style="62" customWidth="1"/>
    <col min="11529" max="11529" width="18" style="62" bestFit="1" customWidth="1"/>
    <col min="11530" max="11776" width="9.140625" style="62"/>
    <col min="11777" max="11777" width="1.42578125" style="62" customWidth="1"/>
    <col min="11778" max="11778" width="1.85546875" style="62" customWidth="1"/>
    <col min="11779" max="11779" width="59.85546875" style="62" customWidth="1"/>
    <col min="11780" max="11780" width="18" style="62" bestFit="1" customWidth="1"/>
    <col min="11781" max="11783" width="0" style="62" hidden="1" customWidth="1"/>
    <col min="11784" max="11784" width="2.140625" style="62" customWidth="1"/>
    <col min="11785" max="11785" width="18" style="62" bestFit="1" customWidth="1"/>
    <col min="11786" max="12032" width="9.140625" style="62"/>
    <col min="12033" max="12033" width="1.42578125" style="62" customWidth="1"/>
    <col min="12034" max="12034" width="1.85546875" style="62" customWidth="1"/>
    <col min="12035" max="12035" width="59.85546875" style="62" customWidth="1"/>
    <col min="12036" max="12036" width="18" style="62" bestFit="1" customWidth="1"/>
    <col min="12037" max="12039" width="0" style="62" hidden="1" customWidth="1"/>
    <col min="12040" max="12040" width="2.140625" style="62" customWidth="1"/>
    <col min="12041" max="12041" width="18" style="62" bestFit="1" customWidth="1"/>
    <col min="12042" max="12288" width="9.140625" style="62"/>
    <col min="12289" max="12289" width="1.42578125" style="62" customWidth="1"/>
    <col min="12290" max="12290" width="1.85546875" style="62" customWidth="1"/>
    <col min="12291" max="12291" width="59.85546875" style="62" customWidth="1"/>
    <col min="12292" max="12292" width="18" style="62" bestFit="1" customWidth="1"/>
    <col min="12293" max="12295" width="0" style="62" hidden="1" customWidth="1"/>
    <col min="12296" max="12296" width="2.140625" style="62" customWidth="1"/>
    <col min="12297" max="12297" width="18" style="62" bestFit="1" customWidth="1"/>
    <col min="12298" max="12544" width="9.140625" style="62"/>
    <col min="12545" max="12545" width="1.42578125" style="62" customWidth="1"/>
    <col min="12546" max="12546" width="1.85546875" style="62" customWidth="1"/>
    <col min="12547" max="12547" width="59.85546875" style="62" customWidth="1"/>
    <col min="12548" max="12548" width="18" style="62" bestFit="1" customWidth="1"/>
    <col min="12549" max="12551" width="0" style="62" hidden="1" customWidth="1"/>
    <col min="12552" max="12552" width="2.140625" style="62" customWidth="1"/>
    <col min="12553" max="12553" width="18" style="62" bestFit="1" customWidth="1"/>
    <col min="12554" max="12800" width="9.140625" style="62"/>
    <col min="12801" max="12801" width="1.42578125" style="62" customWidth="1"/>
    <col min="12802" max="12802" width="1.85546875" style="62" customWidth="1"/>
    <col min="12803" max="12803" width="59.85546875" style="62" customWidth="1"/>
    <col min="12804" max="12804" width="18" style="62" bestFit="1" customWidth="1"/>
    <col min="12805" max="12807" width="0" style="62" hidden="1" customWidth="1"/>
    <col min="12808" max="12808" width="2.140625" style="62" customWidth="1"/>
    <col min="12809" max="12809" width="18" style="62" bestFit="1" customWidth="1"/>
    <col min="12810" max="13056" width="9.140625" style="62"/>
    <col min="13057" max="13057" width="1.42578125" style="62" customWidth="1"/>
    <col min="13058" max="13058" width="1.85546875" style="62" customWidth="1"/>
    <col min="13059" max="13059" width="59.85546875" style="62" customWidth="1"/>
    <col min="13060" max="13060" width="18" style="62" bestFit="1" customWidth="1"/>
    <col min="13061" max="13063" width="0" style="62" hidden="1" customWidth="1"/>
    <col min="13064" max="13064" width="2.140625" style="62" customWidth="1"/>
    <col min="13065" max="13065" width="18" style="62" bestFit="1" customWidth="1"/>
    <col min="13066" max="13312" width="9.140625" style="62"/>
    <col min="13313" max="13313" width="1.42578125" style="62" customWidth="1"/>
    <col min="13314" max="13314" width="1.85546875" style="62" customWidth="1"/>
    <col min="13315" max="13315" width="59.85546875" style="62" customWidth="1"/>
    <col min="13316" max="13316" width="18" style="62" bestFit="1" customWidth="1"/>
    <col min="13317" max="13319" width="0" style="62" hidden="1" customWidth="1"/>
    <col min="13320" max="13320" width="2.140625" style="62" customWidth="1"/>
    <col min="13321" max="13321" width="18" style="62" bestFit="1" customWidth="1"/>
    <col min="13322" max="13568" width="9.140625" style="62"/>
    <col min="13569" max="13569" width="1.42578125" style="62" customWidth="1"/>
    <col min="13570" max="13570" width="1.85546875" style="62" customWidth="1"/>
    <col min="13571" max="13571" width="59.85546875" style="62" customWidth="1"/>
    <col min="13572" max="13572" width="18" style="62" bestFit="1" customWidth="1"/>
    <col min="13573" max="13575" width="0" style="62" hidden="1" customWidth="1"/>
    <col min="13576" max="13576" width="2.140625" style="62" customWidth="1"/>
    <col min="13577" max="13577" width="18" style="62" bestFit="1" customWidth="1"/>
    <col min="13578" max="13824" width="9.140625" style="62"/>
    <col min="13825" max="13825" width="1.42578125" style="62" customWidth="1"/>
    <col min="13826" max="13826" width="1.85546875" style="62" customWidth="1"/>
    <col min="13827" max="13827" width="59.85546875" style="62" customWidth="1"/>
    <col min="13828" max="13828" width="18" style="62" bestFit="1" customWidth="1"/>
    <col min="13829" max="13831" width="0" style="62" hidden="1" customWidth="1"/>
    <col min="13832" max="13832" width="2.140625" style="62" customWidth="1"/>
    <col min="13833" max="13833" width="18" style="62" bestFit="1" customWidth="1"/>
    <col min="13834" max="14080" width="9.140625" style="62"/>
    <col min="14081" max="14081" width="1.42578125" style="62" customWidth="1"/>
    <col min="14082" max="14082" width="1.85546875" style="62" customWidth="1"/>
    <col min="14083" max="14083" width="59.85546875" style="62" customWidth="1"/>
    <col min="14084" max="14084" width="18" style="62" bestFit="1" customWidth="1"/>
    <col min="14085" max="14087" width="0" style="62" hidden="1" customWidth="1"/>
    <col min="14088" max="14088" width="2.140625" style="62" customWidth="1"/>
    <col min="14089" max="14089" width="18" style="62" bestFit="1" customWidth="1"/>
    <col min="14090" max="14336" width="9.140625" style="62"/>
    <col min="14337" max="14337" width="1.42578125" style="62" customWidth="1"/>
    <col min="14338" max="14338" width="1.85546875" style="62" customWidth="1"/>
    <col min="14339" max="14339" width="59.85546875" style="62" customWidth="1"/>
    <col min="14340" max="14340" width="18" style="62" bestFit="1" customWidth="1"/>
    <col min="14341" max="14343" width="0" style="62" hidden="1" customWidth="1"/>
    <col min="14344" max="14344" width="2.140625" style="62" customWidth="1"/>
    <col min="14345" max="14345" width="18" style="62" bestFit="1" customWidth="1"/>
    <col min="14346" max="14592" width="9.140625" style="62"/>
    <col min="14593" max="14593" width="1.42578125" style="62" customWidth="1"/>
    <col min="14594" max="14594" width="1.85546875" style="62" customWidth="1"/>
    <col min="14595" max="14595" width="59.85546875" style="62" customWidth="1"/>
    <col min="14596" max="14596" width="18" style="62" bestFit="1" customWidth="1"/>
    <col min="14597" max="14599" width="0" style="62" hidden="1" customWidth="1"/>
    <col min="14600" max="14600" width="2.140625" style="62" customWidth="1"/>
    <col min="14601" max="14601" width="18" style="62" bestFit="1" customWidth="1"/>
    <col min="14602" max="14848" width="9.140625" style="62"/>
    <col min="14849" max="14849" width="1.42578125" style="62" customWidth="1"/>
    <col min="14850" max="14850" width="1.85546875" style="62" customWidth="1"/>
    <col min="14851" max="14851" width="59.85546875" style="62" customWidth="1"/>
    <col min="14852" max="14852" width="18" style="62" bestFit="1" customWidth="1"/>
    <col min="14853" max="14855" width="0" style="62" hidden="1" customWidth="1"/>
    <col min="14856" max="14856" width="2.140625" style="62" customWidth="1"/>
    <col min="14857" max="14857" width="18" style="62" bestFit="1" customWidth="1"/>
    <col min="14858" max="15104" width="9.140625" style="62"/>
    <col min="15105" max="15105" width="1.42578125" style="62" customWidth="1"/>
    <col min="15106" max="15106" width="1.85546875" style="62" customWidth="1"/>
    <col min="15107" max="15107" width="59.85546875" style="62" customWidth="1"/>
    <col min="15108" max="15108" width="18" style="62" bestFit="1" customWidth="1"/>
    <col min="15109" max="15111" width="0" style="62" hidden="1" customWidth="1"/>
    <col min="15112" max="15112" width="2.140625" style="62" customWidth="1"/>
    <col min="15113" max="15113" width="18" style="62" bestFit="1" customWidth="1"/>
    <col min="15114" max="15360" width="9.140625" style="62"/>
    <col min="15361" max="15361" width="1.42578125" style="62" customWidth="1"/>
    <col min="15362" max="15362" width="1.85546875" style="62" customWidth="1"/>
    <col min="15363" max="15363" width="59.85546875" style="62" customWidth="1"/>
    <col min="15364" max="15364" width="18" style="62" bestFit="1" customWidth="1"/>
    <col min="15365" max="15367" width="0" style="62" hidden="1" customWidth="1"/>
    <col min="15368" max="15368" width="2.140625" style="62" customWidth="1"/>
    <col min="15369" max="15369" width="18" style="62" bestFit="1" customWidth="1"/>
    <col min="15370" max="15616" width="9.140625" style="62"/>
    <col min="15617" max="15617" width="1.42578125" style="62" customWidth="1"/>
    <col min="15618" max="15618" width="1.85546875" style="62" customWidth="1"/>
    <col min="15619" max="15619" width="59.85546875" style="62" customWidth="1"/>
    <col min="15620" max="15620" width="18" style="62" bestFit="1" customWidth="1"/>
    <col min="15621" max="15623" width="0" style="62" hidden="1" customWidth="1"/>
    <col min="15624" max="15624" width="2.140625" style="62" customWidth="1"/>
    <col min="15625" max="15625" width="18" style="62" bestFit="1" customWidth="1"/>
    <col min="15626" max="15872" width="9.140625" style="62"/>
    <col min="15873" max="15873" width="1.42578125" style="62" customWidth="1"/>
    <col min="15874" max="15874" width="1.85546875" style="62" customWidth="1"/>
    <col min="15875" max="15875" width="59.85546875" style="62" customWidth="1"/>
    <col min="15876" max="15876" width="18" style="62" bestFit="1" customWidth="1"/>
    <col min="15877" max="15879" width="0" style="62" hidden="1" customWidth="1"/>
    <col min="15880" max="15880" width="2.140625" style="62" customWidth="1"/>
    <col min="15881" max="15881" width="18" style="62" bestFit="1" customWidth="1"/>
    <col min="15882" max="16128" width="9.140625" style="62"/>
    <col min="16129" max="16129" width="1.42578125" style="62" customWidth="1"/>
    <col min="16130" max="16130" width="1.85546875" style="62" customWidth="1"/>
    <col min="16131" max="16131" width="59.85546875" style="62" customWidth="1"/>
    <col min="16132" max="16132" width="18" style="62" bestFit="1" customWidth="1"/>
    <col min="16133" max="16135" width="0" style="62" hidden="1" customWidth="1"/>
    <col min="16136" max="16136" width="2.140625" style="62" customWidth="1"/>
    <col min="16137" max="16137" width="18" style="62" bestFit="1" customWidth="1"/>
    <col min="16138" max="16384" width="9.140625" style="62"/>
  </cols>
  <sheetData>
    <row r="2" spans="3:12" hidden="1" x14ac:dyDescent="0.25"/>
    <row r="3" spans="3:12" hidden="1" x14ac:dyDescent="0.25">
      <c r="C3" s="158" t="s">
        <v>459</v>
      </c>
      <c r="D3" s="159">
        <v>146044090.48999998</v>
      </c>
      <c r="E3" s="157">
        <v>11470.639999955893</v>
      </c>
    </row>
    <row r="4" spans="3:12" hidden="1" x14ac:dyDescent="0.25"/>
    <row r="5" spans="3:12" hidden="1" x14ac:dyDescent="0.25">
      <c r="C5" s="102" t="s">
        <v>240</v>
      </c>
      <c r="D5" s="160">
        <v>58285283.730000004</v>
      </c>
    </row>
    <row r="6" spans="3:12" hidden="1" x14ac:dyDescent="0.25">
      <c r="C6" s="102" t="s">
        <v>460</v>
      </c>
      <c r="D6" s="160">
        <v>8949.4699999913591</v>
      </c>
      <c r="G6" s="160">
        <v>58294233.199999996</v>
      </c>
    </row>
    <row r="7" spans="3:12" hidden="1" x14ac:dyDescent="0.25">
      <c r="C7" s="62" t="s">
        <v>237</v>
      </c>
      <c r="D7" s="157">
        <v>88938685.99000001</v>
      </c>
    </row>
    <row r="8" spans="3:12" hidden="1" x14ac:dyDescent="0.25">
      <c r="C8" s="62" t="s">
        <v>461</v>
      </c>
      <c r="D8" s="157">
        <v>-1194723.55</v>
      </c>
      <c r="E8" s="62" t="s">
        <v>462</v>
      </c>
    </row>
    <row r="9" spans="3:12" hidden="1" x14ac:dyDescent="0.25">
      <c r="C9" s="62" t="s">
        <v>460</v>
      </c>
      <c r="D9" s="157">
        <v>5894.8500000014901</v>
      </c>
      <c r="G9" s="157">
        <v>87749857.290000021</v>
      </c>
    </row>
    <row r="11" spans="3:12" x14ac:dyDescent="0.25">
      <c r="C11" s="410" t="s">
        <v>463</v>
      </c>
      <c r="D11" s="410"/>
    </row>
    <row r="12" spans="3:12" x14ac:dyDescent="0.25">
      <c r="C12" s="410" t="s">
        <v>633</v>
      </c>
      <c r="D12" s="410"/>
    </row>
    <row r="14" spans="3:12" x14ac:dyDescent="0.25">
      <c r="C14" s="102" t="s">
        <v>478</v>
      </c>
      <c r="D14" s="160">
        <v>15778860.4</v>
      </c>
      <c r="I14" s="325"/>
    </row>
    <row r="15" spans="3:12" x14ac:dyDescent="0.25">
      <c r="C15" s="102" t="s">
        <v>464</v>
      </c>
      <c r="D15" s="160">
        <v>92936040.440000027</v>
      </c>
      <c r="I15" s="157"/>
      <c r="K15" s="312"/>
      <c r="L15" s="325"/>
    </row>
    <row r="16" spans="3:12" x14ac:dyDescent="0.25">
      <c r="C16" s="102" t="s">
        <v>465</v>
      </c>
      <c r="D16" s="160">
        <v>111528900.12</v>
      </c>
      <c r="I16" s="157">
        <v>204464940.56000003</v>
      </c>
      <c r="K16" s="312"/>
      <c r="L16" s="178"/>
    </row>
    <row r="17" spans="3:12" x14ac:dyDescent="0.25">
      <c r="C17" s="324" t="s">
        <v>635</v>
      </c>
      <c r="D17" s="160">
        <v>83756927.789999992</v>
      </c>
      <c r="I17" s="157"/>
      <c r="K17" s="312"/>
      <c r="L17" s="178"/>
    </row>
    <row r="18" spans="3:12" x14ac:dyDescent="0.25">
      <c r="C18" s="324" t="s">
        <v>636</v>
      </c>
      <c r="D18" s="160">
        <v>82197614.719999984</v>
      </c>
      <c r="I18" s="157">
        <v>370419483.07000005</v>
      </c>
      <c r="K18" s="312"/>
      <c r="L18" s="178"/>
    </row>
    <row r="19" spans="3:12" x14ac:dyDescent="0.25">
      <c r="C19" s="102" t="s">
        <v>466</v>
      </c>
      <c r="D19" s="160">
        <v>901662.73</v>
      </c>
      <c r="I19" s="157">
        <v>205366603.29000002</v>
      </c>
    </row>
    <row r="20" spans="3:12" x14ac:dyDescent="0.25">
      <c r="C20" s="324" t="s">
        <v>634</v>
      </c>
      <c r="D20" s="160">
        <v>1438396.9300000002</v>
      </c>
      <c r="I20" s="157"/>
    </row>
    <row r="21" spans="3:12" x14ac:dyDescent="0.25">
      <c r="C21" s="102" t="s">
        <v>467</v>
      </c>
      <c r="D21" s="160">
        <v>-275830277.82999998</v>
      </c>
      <c r="L21" s="178"/>
    </row>
    <row r="22" spans="3:12" x14ac:dyDescent="0.25">
      <c r="C22" s="117" t="s">
        <v>468</v>
      </c>
      <c r="D22" s="174">
        <v>-7490.51</v>
      </c>
      <c r="I22" s="326"/>
    </row>
    <row r="23" spans="3:12" x14ac:dyDescent="0.25">
      <c r="C23" s="314" t="s">
        <v>637</v>
      </c>
      <c r="D23" s="174">
        <v>-1533.94</v>
      </c>
      <c r="I23" s="94">
        <v>-29083.569999999996</v>
      </c>
      <c r="K23" s="94"/>
      <c r="L23" s="178"/>
    </row>
    <row r="24" spans="3:12" x14ac:dyDescent="0.25">
      <c r="C24" s="117" t="s">
        <v>481</v>
      </c>
      <c r="D24" s="174">
        <v>-20059.12</v>
      </c>
      <c r="L24" s="178"/>
    </row>
    <row r="25" spans="3:12" x14ac:dyDescent="0.25">
      <c r="I25" s="157"/>
    </row>
    <row r="28" spans="3:12" x14ac:dyDescent="0.25">
      <c r="C28" s="161" t="s">
        <v>470</v>
      </c>
      <c r="D28" s="162">
        <v>112679041.73</v>
      </c>
      <c r="I28" s="157">
        <v>9.9999904632568359E-3</v>
      </c>
    </row>
    <row r="30" spans="3:12" x14ac:dyDescent="0.25">
      <c r="C30" s="161" t="s">
        <v>479</v>
      </c>
      <c r="D30" s="162">
        <v>112679041.72000001</v>
      </c>
    </row>
    <row r="32" spans="3:12" x14ac:dyDescent="0.25">
      <c r="C32" s="163" t="s">
        <v>471</v>
      </c>
      <c r="D32" s="164">
        <v>9.9999904632568359E-3</v>
      </c>
      <c r="H32" s="157"/>
    </row>
  </sheetData>
  <mergeCells count="2">
    <mergeCell ref="C11:D11"/>
    <mergeCell ref="C12:D12"/>
  </mergeCells>
  <pageMargins left="0.511811024" right="0.511811024" top="0.78740157499999996" bottom="0.78740157499999996" header="0.31496062000000002" footer="0.31496062000000002"/>
  <pageSetup paperSize="9" scale="91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2D20-53EF-41C1-8D5F-306ED7E20748}">
  <sheetPr filterMode="1"/>
  <dimension ref="A1:F66"/>
  <sheetViews>
    <sheetView workbookViewId="0">
      <selection activeCell="E51" sqref="E51"/>
    </sheetView>
  </sheetViews>
  <sheetFormatPr defaultRowHeight="15" x14ac:dyDescent="0.25"/>
  <cols>
    <col min="1" max="1" width="12.85546875" customWidth="1"/>
    <col min="2" max="2" width="30" customWidth="1"/>
    <col min="3" max="3" width="16" style="1" customWidth="1"/>
    <col min="4" max="4" width="5.42578125" style="2" customWidth="1"/>
    <col min="5" max="5" width="32.140625" customWidth="1"/>
    <col min="6" max="6" width="21.85546875" style="2" customWidth="1"/>
  </cols>
  <sheetData>
    <row r="1" spans="1:6" x14ac:dyDescent="0.25">
      <c r="A1" t="s">
        <v>0</v>
      </c>
    </row>
    <row r="2" spans="1:6" x14ac:dyDescent="0.25">
      <c r="A2" t="s">
        <v>1</v>
      </c>
      <c r="C2" s="1">
        <f>SUBTOTAL(9,C4:C66)</f>
        <v>179198173.09999999</v>
      </c>
    </row>
    <row r="3" spans="1:6" x14ac:dyDescent="0.25">
      <c r="A3" s="272" t="s">
        <v>2</v>
      </c>
      <c r="B3" s="272" t="s">
        <v>3</v>
      </c>
      <c r="C3" s="274" t="s">
        <v>4</v>
      </c>
      <c r="D3" s="273" t="s">
        <v>5</v>
      </c>
      <c r="E3" s="182" t="s">
        <v>889</v>
      </c>
      <c r="F3" s="185" t="s">
        <v>517</v>
      </c>
    </row>
    <row r="4" spans="1:6" x14ac:dyDescent="0.25">
      <c r="A4" s="6" t="s">
        <v>880</v>
      </c>
      <c r="B4" s="6" t="s">
        <v>30</v>
      </c>
      <c r="C4" s="7">
        <v>1600.4</v>
      </c>
      <c r="D4" s="5" t="s">
        <v>7</v>
      </c>
      <c r="E4" s="6" t="s">
        <v>42</v>
      </c>
      <c r="F4" s="6"/>
    </row>
    <row r="5" spans="1:6" x14ac:dyDescent="0.25">
      <c r="A5" s="6" t="s">
        <v>880</v>
      </c>
      <c r="B5" s="6" t="s">
        <v>10</v>
      </c>
      <c r="C5" s="7">
        <v>168934.79</v>
      </c>
      <c r="D5" s="5" t="s">
        <v>7</v>
      </c>
      <c r="E5" s="6" t="s">
        <v>42</v>
      </c>
      <c r="F5" s="6"/>
    </row>
    <row r="6" spans="1:6" x14ac:dyDescent="0.25">
      <c r="A6" s="6" t="s">
        <v>880</v>
      </c>
      <c r="B6" s="6" t="s">
        <v>12</v>
      </c>
      <c r="C6" s="7">
        <v>1538804.24</v>
      </c>
      <c r="D6" s="5" t="s">
        <v>7</v>
      </c>
      <c r="E6" s="6" t="s">
        <v>42</v>
      </c>
      <c r="F6" s="6"/>
    </row>
    <row r="7" spans="1:6" hidden="1" x14ac:dyDescent="0.25">
      <c r="A7" s="16" t="s">
        <v>880</v>
      </c>
      <c r="B7" s="16" t="s">
        <v>17</v>
      </c>
      <c r="C7" s="17">
        <v>1709339.43</v>
      </c>
      <c r="D7" s="15" t="s">
        <v>16</v>
      </c>
      <c r="E7" s="16" t="s">
        <v>44</v>
      </c>
      <c r="F7" s="16"/>
    </row>
    <row r="8" spans="1:6" x14ac:dyDescent="0.25">
      <c r="A8" s="179" t="s">
        <v>881</v>
      </c>
      <c r="B8" s="179" t="s">
        <v>49</v>
      </c>
      <c r="C8" s="181">
        <v>103.93</v>
      </c>
      <c r="D8" s="180" t="s">
        <v>7</v>
      </c>
      <c r="E8" s="179" t="s">
        <v>49</v>
      </c>
      <c r="F8" s="180" t="s">
        <v>684</v>
      </c>
    </row>
    <row r="9" spans="1:6" hidden="1" x14ac:dyDescent="0.25">
      <c r="A9" s="9" t="s">
        <v>881</v>
      </c>
      <c r="B9" s="9" t="s">
        <v>50</v>
      </c>
      <c r="C9" s="10">
        <v>35161499.130000003</v>
      </c>
      <c r="D9" s="8" t="s">
        <v>16</v>
      </c>
      <c r="E9" s="9" t="s">
        <v>66</v>
      </c>
      <c r="F9" s="8" t="s">
        <v>658</v>
      </c>
    </row>
    <row r="10" spans="1:6" hidden="1" x14ac:dyDescent="0.25">
      <c r="A10" s="9" t="s">
        <v>881</v>
      </c>
      <c r="B10" s="9" t="s">
        <v>50</v>
      </c>
      <c r="C10" s="10">
        <v>6964816.8399999999</v>
      </c>
      <c r="D10" s="8" t="s">
        <v>16</v>
      </c>
      <c r="E10" s="9" t="s">
        <v>66</v>
      </c>
      <c r="F10" s="8" t="s">
        <v>638</v>
      </c>
    </row>
    <row r="11" spans="1:6" x14ac:dyDescent="0.25">
      <c r="A11" s="16" t="s">
        <v>881</v>
      </c>
      <c r="B11" s="16" t="s">
        <v>20</v>
      </c>
      <c r="C11" s="17">
        <v>42126212.039999999</v>
      </c>
      <c r="D11" s="15" t="s">
        <v>7</v>
      </c>
      <c r="E11" s="16" t="s">
        <v>20</v>
      </c>
      <c r="F11" s="16"/>
    </row>
    <row r="12" spans="1:6" x14ac:dyDescent="0.25">
      <c r="A12" s="6" t="s">
        <v>882</v>
      </c>
      <c r="B12" s="6" t="s">
        <v>30</v>
      </c>
      <c r="C12" s="7">
        <v>46.36</v>
      </c>
      <c r="D12" s="5" t="s">
        <v>7</v>
      </c>
      <c r="E12" s="6" t="s">
        <v>42</v>
      </c>
      <c r="F12" s="6"/>
    </row>
    <row r="13" spans="1:6" x14ac:dyDescent="0.25">
      <c r="A13" s="6" t="s">
        <v>882</v>
      </c>
      <c r="B13" s="6" t="s">
        <v>30</v>
      </c>
      <c r="C13" s="7">
        <v>6234.01</v>
      </c>
      <c r="D13" s="5" t="s">
        <v>7</v>
      </c>
      <c r="E13" s="6" t="s">
        <v>42</v>
      </c>
      <c r="F13" s="6"/>
    </row>
    <row r="14" spans="1:6" x14ac:dyDescent="0.25">
      <c r="A14" s="6" t="s">
        <v>882</v>
      </c>
      <c r="B14" s="6" t="s">
        <v>10</v>
      </c>
      <c r="C14" s="7">
        <v>58776.57</v>
      </c>
      <c r="D14" s="5" t="s">
        <v>7</v>
      </c>
      <c r="E14" s="6" t="s">
        <v>42</v>
      </c>
      <c r="F14" s="6"/>
    </row>
    <row r="15" spans="1:6" x14ac:dyDescent="0.25">
      <c r="A15" s="6" t="s">
        <v>882</v>
      </c>
      <c r="B15" s="6" t="s">
        <v>10</v>
      </c>
      <c r="C15" s="7">
        <v>137612.57999999999</v>
      </c>
      <c r="D15" s="5" t="s">
        <v>7</v>
      </c>
      <c r="E15" s="6" t="s">
        <v>42</v>
      </c>
      <c r="F15" s="6"/>
    </row>
    <row r="16" spans="1:6" x14ac:dyDescent="0.25">
      <c r="A16" s="6" t="s">
        <v>882</v>
      </c>
      <c r="B16" s="6" t="s">
        <v>11</v>
      </c>
      <c r="C16" s="7">
        <v>1640.13</v>
      </c>
      <c r="D16" s="5" t="s">
        <v>7</v>
      </c>
      <c r="E16" s="6" t="s">
        <v>42</v>
      </c>
      <c r="F16" s="6"/>
    </row>
    <row r="17" spans="1:6" x14ac:dyDescent="0.25">
      <c r="A17" s="6" t="s">
        <v>882</v>
      </c>
      <c r="B17" s="6" t="s">
        <v>12</v>
      </c>
      <c r="C17" s="7">
        <v>32178.6</v>
      </c>
      <c r="D17" s="5" t="s">
        <v>7</v>
      </c>
      <c r="E17" s="6" t="s">
        <v>42</v>
      </c>
      <c r="F17" s="6"/>
    </row>
    <row r="18" spans="1:6" x14ac:dyDescent="0.25">
      <c r="A18" s="6" t="s">
        <v>882</v>
      </c>
      <c r="B18" s="6" t="s">
        <v>12</v>
      </c>
      <c r="C18" s="7">
        <v>580965.71</v>
      </c>
      <c r="D18" s="5" t="s">
        <v>7</v>
      </c>
      <c r="E18" s="6" t="s">
        <v>42</v>
      </c>
      <c r="F18" s="6"/>
    </row>
    <row r="19" spans="1:6" x14ac:dyDescent="0.25">
      <c r="A19" s="6" t="s">
        <v>882</v>
      </c>
      <c r="B19" s="6" t="s">
        <v>13</v>
      </c>
      <c r="C19" s="7">
        <v>1492064.23</v>
      </c>
      <c r="D19" s="5" t="s">
        <v>7</v>
      </c>
      <c r="E19" s="6" t="s">
        <v>42</v>
      </c>
      <c r="F19" s="6"/>
    </row>
    <row r="20" spans="1:6" x14ac:dyDescent="0.25">
      <c r="A20" s="6" t="s">
        <v>882</v>
      </c>
      <c r="B20" s="6" t="s">
        <v>13</v>
      </c>
      <c r="C20" s="7">
        <v>3468610.36</v>
      </c>
      <c r="D20" s="5" t="s">
        <v>7</v>
      </c>
      <c r="E20" s="6" t="s">
        <v>42</v>
      </c>
      <c r="F20" s="6"/>
    </row>
    <row r="21" spans="1:6" x14ac:dyDescent="0.25">
      <c r="A21" s="6" t="s">
        <v>882</v>
      </c>
      <c r="B21" s="6" t="s">
        <v>13</v>
      </c>
      <c r="C21" s="7">
        <v>40065193.280000001</v>
      </c>
      <c r="D21" s="5" t="s">
        <v>7</v>
      </c>
      <c r="E21" s="6" t="s">
        <v>42</v>
      </c>
      <c r="F21" s="6"/>
    </row>
    <row r="22" spans="1:6" x14ac:dyDescent="0.25">
      <c r="A22" s="6" t="s">
        <v>882</v>
      </c>
      <c r="B22" s="6" t="s">
        <v>13</v>
      </c>
      <c r="C22" s="7">
        <v>17553.669999999998</v>
      </c>
      <c r="D22" s="5" t="s">
        <v>7</v>
      </c>
      <c r="E22" s="6" t="s">
        <v>42</v>
      </c>
      <c r="F22" s="6"/>
    </row>
    <row r="23" spans="1:6" x14ac:dyDescent="0.25">
      <c r="A23" s="11" t="s">
        <v>882</v>
      </c>
      <c r="B23" s="11" t="s">
        <v>14</v>
      </c>
      <c r="C23" s="13">
        <v>25115.34</v>
      </c>
      <c r="D23" s="12" t="s">
        <v>7</v>
      </c>
      <c r="E23" s="11" t="s">
        <v>43</v>
      </c>
      <c r="F23" s="11"/>
    </row>
    <row r="24" spans="1:6" x14ac:dyDescent="0.25">
      <c r="A24" s="6" t="s">
        <v>882</v>
      </c>
      <c r="B24" s="6" t="s">
        <v>14</v>
      </c>
      <c r="C24" s="7">
        <v>14570.67</v>
      </c>
      <c r="D24" s="5" t="s">
        <v>7</v>
      </c>
      <c r="E24" s="6" t="s">
        <v>42</v>
      </c>
      <c r="F24" s="6"/>
    </row>
    <row r="25" spans="1:6" hidden="1" x14ac:dyDescent="0.25">
      <c r="A25" s="11" t="s">
        <v>882</v>
      </c>
      <c r="B25" s="11" t="s">
        <v>15</v>
      </c>
      <c r="C25" s="13">
        <v>25115.34</v>
      </c>
      <c r="D25" s="12" t="s">
        <v>16</v>
      </c>
      <c r="E25" s="11" t="s">
        <v>43</v>
      </c>
      <c r="F25" s="11"/>
    </row>
    <row r="26" spans="1:6" hidden="1" x14ac:dyDescent="0.25">
      <c r="A26" s="16" t="s">
        <v>882</v>
      </c>
      <c r="B26" s="16" t="s">
        <v>17</v>
      </c>
      <c r="C26" s="17">
        <v>45875446.170000002</v>
      </c>
      <c r="D26" s="15" t="s">
        <v>16</v>
      </c>
      <c r="E26" s="16" t="s">
        <v>44</v>
      </c>
      <c r="F26" s="16"/>
    </row>
    <row r="27" spans="1:6" x14ac:dyDescent="0.25">
      <c r="A27" s="6" t="s">
        <v>883</v>
      </c>
      <c r="B27" s="6" t="s">
        <v>30</v>
      </c>
      <c r="C27" s="7">
        <v>4585.59</v>
      </c>
      <c r="D27" s="5" t="s">
        <v>7</v>
      </c>
      <c r="E27" s="6" t="s">
        <v>42</v>
      </c>
      <c r="F27" s="6"/>
    </row>
    <row r="28" spans="1:6" x14ac:dyDescent="0.25">
      <c r="A28" s="6" t="s">
        <v>883</v>
      </c>
      <c r="B28" s="6" t="s">
        <v>10</v>
      </c>
      <c r="C28" s="7">
        <v>266748.51</v>
      </c>
      <c r="D28" s="5" t="s">
        <v>7</v>
      </c>
      <c r="E28" s="6" t="s">
        <v>42</v>
      </c>
      <c r="F28" s="6"/>
    </row>
    <row r="29" spans="1:6" x14ac:dyDescent="0.25">
      <c r="A29" s="6" t="s">
        <v>883</v>
      </c>
      <c r="B29" s="6" t="s">
        <v>12</v>
      </c>
      <c r="C29" s="7">
        <v>5600126.9299999997</v>
      </c>
      <c r="D29" s="5" t="s">
        <v>7</v>
      </c>
      <c r="E29" s="6" t="s">
        <v>42</v>
      </c>
      <c r="F29" s="6"/>
    </row>
    <row r="30" spans="1:6" hidden="1" x14ac:dyDescent="0.25">
      <c r="A30" s="16" t="s">
        <v>883</v>
      </c>
      <c r="B30" s="16" t="s">
        <v>17</v>
      </c>
      <c r="C30" s="17">
        <v>5871461.0300000003</v>
      </c>
      <c r="D30" s="15" t="s">
        <v>16</v>
      </c>
      <c r="E30" s="16" t="s">
        <v>44</v>
      </c>
      <c r="F30" s="16"/>
    </row>
    <row r="31" spans="1:6" hidden="1" x14ac:dyDescent="0.25">
      <c r="A31" s="9" t="s">
        <v>884</v>
      </c>
      <c r="B31" s="9" t="s">
        <v>50</v>
      </c>
      <c r="C31" s="10">
        <v>70643.92</v>
      </c>
      <c r="D31" s="8" t="s">
        <v>16</v>
      </c>
      <c r="E31" s="9" t="s">
        <v>66</v>
      </c>
      <c r="F31" s="8" t="s">
        <v>688</v>
      </c>
    </row>
    <row r="32" spans="1:6" x14ac:dyDescent="0.25">
      <c r="A32" s="16" t="s">
        <v>884</v>
      </c>
      <c r="B32" s="16" t="s">
        <v>20</v>
      </c>
      <c r="C32" s="17">
        <v>70643.92</v>
      </c>
      <c r="D32" s="15" t="s">
        <v>7</v>
      </c>
      <c r="E32" s="16" t="s">
        <v>20</v>
      </c>
      <c r="F32" s="16"/>
    </row>
    <row r="33" spans="1:6" x14ac:dyDescent="0.25">
      <c r="A33" s="6" t="s">
        <v>885</v>
      </c>
      <c r="B33" s="6" t="s">
        <v>11</v>
      </c>
      <c r="C33" s="7">
        <v>106.39</v>
      </c>
      <c r="D33" s="5" t="s">
        <v>7</v>
      </c>
      <c r="E33" s="6" t="s">
        <v>42</v>
      </c>
      <c r="F33" s="6"/>
    </row>
    <row r="34" spans="1:6" x14ac:dyDescent="0.25">
      <c r="A34" s="6" t="s">
        <v>885</v>
      </c>
      <c r="B34" s="6" t="s">
        <v>13</v>
      </c>
      <c r="C34" s="7">
        <v>325682.90000000002</v>
      </c>
      <c r="D34" s="5" t="s">
        <v>7</v>
      </c>
      <c r="E34" s="6" t="s">
        <v>42</v>
      </c>
      <c r="F34" s="6"/>
    </row>
    <row r="35" spans="1:6" x14ac:dyDescent="0.25">
      <c r="A35" s="6" t="s">
        <v>885</v>
      </c>
      <c r="B35" s="6" t="s">
        <v>13</v>
      </c>
      <c r="C35" s="7">
        <v>757116.99</v>
      </c>
      <c r="D35" s="5" t="s">
        <v>7</v>
      </c>
      <c r="E35" s="6" t="s">
        <v>42</v>
      </c>
      <c r="F35" s="6"/>
    </row>
    <row r="36" spans="1:6" x14ac:dyDescent="0.25">
      <c r="A36" s="6" t="s">
        <v>885</v>
      </c>
      <c r="B36" s="6" t="s">
        <v>13</v>
      </c>
      <c r="C36" s="7">
        <v>8321549.5</v>
      </c>
      <c r="D36" s="5" t="s">
        <v>7</v>
      </c>
      <c r="E36" s="6" t="s">
        <v>42</v>
      </c>
      <c r="F36" s="6"/>
    </row>
    <row r="37" spans="1:6" x14ac:dyDescent="0.25">
      <c r="A37" s="6" t="s">
        <v>885</v>
      </c>
      <c r="B37" s="6" t="s">
        <v>13</v>
      </c>
      <c r="C37" s="7">
        <v>3831.54</v>
      </c>
      <c r="D37" s="5" t="s">
        <v>7</v>
      </c>
      <c r="E37" s="6" t="s">
        <v>42</v>
      </c>
      <c r="F37" s="6"/>
    </row>
    <row r="38" spans="1:6" x14ac:dyDescent="0.25">
      <c r="A38" s="11" t="s">
        <v>885</v>
      </c>
      <c r="B38" s="11" t="s">
        <v>14</v>
      </c>
      <c r="C38" s="13">
        <v>8636.2999999999993</v>
      </c>
      <c r="D38" s="12" t="s">
        <v>7</v>
      </c>
      <c r="E38" s="11" t="s">
        <v>43</v>
      </c>
      <c r="F38" s="11"/>
    </row>
    <row r="39" spans="1:6" x14ac:dyDescent="0.25">
      <c r="A39" s="6" t="s">
        <v>885</v>
      </c>
      <c r="B39" s="6" t="s">
        <v>14</v>
      </c>
      <c r="C39" s="7">
        <v>5010.3599999999997</v>
      </c>
      <c r="D39" s="5" t="s">
        <v>7</v>
      </c>
      <c r="E39" s="6" t="s">
        <v>42</v>
      </c>
      <c r="F39" s="6"/>
    </row>
    <row r="40" spans="1:6" hidden="1" x14ac:dyDescent="0.25">
      <c r="A40" s="11" t="s">
        <v>885</v>
      </c>
      <c r="B40" s="11" t="s">
        <v>15</v>
      </c>
      <c r="C40" s="13">
        <v>8636.2999999999993</v>
      </c>
      <c r="D40" s="12" t="s">
        <v>16</v>
      </c>
      <c r="E40" s="11" t="s">
        <v>43</v>
      </c>
      <c r="F40" s="11"/>
    </row>
    <row r="41" spans="1:6" hidden="1" x14ac:dyDescent="0.25">
      <c r="A41" s="16" t="s">
        <v>885</v>
      </c>
      <c r="B41" s="16" t="s">
        <v>17</v>
      </c>
      <c r="C41" s="17">
        <v>9413297.6799999997</v>
      </c>
      <c r="D41" s="15" t="s">
        <v>16</v>
      </c>
      <c r="E41" s="16" t="s">
        <v>44</v>
      </c>
      <c r="F41" s="16"/>
    </row>
    <row r="42" spans="1:6" x14ac:dyDescent="0.25">
      <c r="A42" s="6" t="s">
        <v>886</v>
      </c>
      <c r="B42" s="6" t="s">
        <v>30</v>
      </c>
      <c r="C42" s="7">
        <v>15845.21</v>
      </c>
      <c r="D42" s="5" t="s">
        <v>7</v>
      </c>
      <c r="E42" s="6" t="s">
        <v>42</v>
      </c>
      <c r="F42" s="6"/>
    </row>
    <row r="43" spans="1:6" x14ac:dyDescent="0.25">
      <c r="A43" s="6" t="s">
        <v>886</v>
      </c>
      <c r="B43" s="6" t="s">
        <v>10</v>
      </c>
      <c r="C43" s="7">
        <v>384474.34</v>
      </c>
      <c r="D43" s="5" t="s">
        <v>7</v>
      </c>
      <c r="E43" s="6" t="s">
        <v>42</v>
      </c>
      <c r="F43" s="6"/>
    </row>
    <row r="44" spans="1:6" x14ac:dyDescent="0.25">
      <c r="A44" s="6" t="s">
        <v>886</v>
      </c>
      <c r="B44" s="6" t="s">
        <v>12</v>
      </c>
      <c r="C44" s="7">
        <v>8552315.3100000005</v>
      </c>
      <c r="D44" s="5" t="s">
        <v>7</v>
      </c>
      <c r="E44" s="6" t="s">
        <v>42</v>
      </c>
      <c r="F44" s="6"/>
    </row>
    <row r="45" spans="1:6" hidden="1" x14ac:dyDescent="0.25">
      <c r="A45" s="16" t="s">
        <v>886</v>
      </c>
      <c r="B45" s="16" t="s">
        <v>17</v>
      </c>
      <c r="C45" s="17">
        <v>8952634.8599999994</v>
      </c>
      <c r="D45" s="15" t="s">
        <v>16</v>
      </c>
      <c r="E45" s="16" t="s">
        <v>44</v>
      </c>
      <c r="F45" s="16"/>
    </row>
    <row r="46" spans="1:6" x14ac:dyDescent="0.25">
      <c r="A46" s="6" t="s">
        <v>887</v>
      </c>
      <c r="B46" s="6" t="s">
        <v>30</v>
      </c>
      <c r="C46" s="7">
        <v>106.56</v>
      </c>
      <c r="D46" s="5" t="s">
        <v>7</v>
      </c>
      <c r="E46" s="6" t="s">
        <v>42</v>
      </c>
      <c r="F46" s="6"/>
    </row>
    <row r="47" spans="1:6" x14ac:dyDescent="0.25">
      <c r="A47" s="6" t="s">
        <v>887</v>
      </c>
      <c r="B47" s="6" t="s">
        <v>10</v>
      </c>
      <c r="C47" s="7">
        <v>187443.84</v>
      </c>
      <c r="D47" s="5" t="s">
        <v>7</v>
      </c>
      <c r="E47" s="6" t="s">
        <v>42</v>
      </c>
      <c r="F47" s="6"/>
    </row>
    <row r="48" spans="1:6" x14ac:dyDescent="0.25">
      <c r="A48" s="6" t="s">
        <v>887</v>
      </c>
      <c r="B48" s="6" t="s">
        <v>12</v>
      </c>
      <c r="C48" s="7">
        <v>2714578.57</v>
      </c>
      <c r="D48" s="5" t="s">
        <v>7</v>
      </c>
      <c r="E48" s="6" t="s">
        <v>42</v>
      </c>
      <c r="F48" s="6"/>
    </row>
    <row r="49" spans="1:6" hidden="1" x14ac:dyDescent="0.25">
      <c r="A49" s="9" t="s">
        <v>887</v>
      </c>
      <c r="B49" s="9" t="s">
        <v>22</v>
      </c>
      <c r="C49" s="10">
        <v>33983595.149999999</v>
      </c>
      <c r="D49" s="8" t="s">
        <v>16</v>
      </c>
      <c r="E49" s="9" t="s">
        <v>904</v>
      </c>
      <c r="F49" s="85" t="s">
        <v>908</v>
      </c>
    </row>
    <row r="50" spans="1:6" hidden="1" x14ac:dyDescent="0.25">
      <c r="A50" s="9" t="s">
        <v>887</v>
      </c>
      <c r="B50" s="9" t="s">
        <v>22</v>
      </c>
      <c r="C50" s="10">
        <v>570670.66</v>
      </c>
      <c r="D50" s="8" t="s">
        <v>16</v>
      </c>
      <c r="E50" s="9" t="s">
        <v>904</v>
      </c>
      <c r="F50" s="85" t="s">
        <v>908</v>
      </c>
    </row>
    <row r="51" spans="1:6" hidden="1" x14ac:dyDescent="0.25">
      <c r="A51" s="9" t="s">
        <v>887</v>
      </c>
      <c r="B51" s="9" t="s">
        <v>22</v>
      </c>
      <c r="C51" s="10">
        <v>259507.21</v>
      </c>
      <c r="D51" s="8" t="s">
        <v>16</v>
      </c>
      <c r="E51" s="9" t="s">
        <v>904</v>
      </c>
      <c r="F51" s="85" t="s">
        <v>908</v>
      </c>
    </row>
    <row r="52" spans="1:6" hidden="1" x14ac:dyDescent="0.25">
      <c r="A52" s="9" t="s">
        <v>887</v>
      </c>
      <c r="B52" s="9" t="s">
        <v>22</v>
      </c>
      <c r="C52" s="10">
        <v>694.48</v>
      </c>
      <c r="D52" s="8" t="s">
        <v>16</v>
      </c>
      <c r="E52" s="9" t="s">
        <v>904</v>
      </c>
      <c r="F52" s="85" t="s">
        <v>908</v>
      </c>
    </row>
    <row r="53" spans="1:6" hidden="1" x14ac:dyDescent="0.25">
      <c r="A53" s="9" t="s">
        <v>887</v>
      </c>
      <c r="B53" s="9" t="s">
        <v>22</v>
      </c>
      <c r="C53" s="10">
        <v>15374.74</v>
      </c>
      <c r="D53" s="8" t="s">
        <v>16</v>
      </c>
      <c r="E53" s="9" t="s">
        <v>904</v>
      </c>
      <c r="F53" s="85" t="s">
        <v>908</v>
      </c>
    </row>
    <row r="54" spans="1:6" hidden="1" x14ac:dyDescent="0.25">
      <c r="A54" s="9" t="s">
        <v>887</v>
      </c>
      <c r="B54" s="9" t="s">
        <v>22</v>
      </c>
      <c r="C54" s="10">
        <v>577241.07999999996</v>
      </c>
      <c r="D54" s="8" t="s">
        <v>16</v>
      </c>
      <c r="E54" s="9" t="s">
        <v>904</v>
      </c>
      <c r="F54" s="85" t="s">
        <v>908</v>
      </c>
    </row>
    <row r="55" spans="1:6" hidden="1" x14ac:dyDescent="0.25">
      <c r="A55" s="9" t="s">
        <v>887</v>
      </c>
      <c r="B55" s="9" t="s">
        <v>37</v>
      </c>
      <c r="C55" s="10">
        <v>16626.84</v>
      </c>
      <c r="D55" s="8" t="s">
        <v>16</v>
      </c>
      <c r="E55" s="9" t="s">
        <v>904</v>
      </c>
      <c r="F55" s="85" t="s">
        <v>908</v>
      </c>
    </row>
    <row r="56" spans="1:6" hidden="1" x14ac:dyDescent="0.25">
      <c r="A56" s="9" t="s">
        <v>887</v>
      </c>
      <c r="B56" s="9" t="s">
        <v>50</v>
      </c>
      <c r="C56" s="10">
        <v>327994.51</v>
      </c>
      <c r="D56" s="8" t="s">
        <v>16</v>
      </c>
      <c r="E56" s="9" t="s">
        <v>904</v>
      </c>
      <c r="F56" s="85" t="s">
        <v>908</v>
      </c>
    </row>
    <row r="57" spans="1:6" x14ac:dyDescent="0.25">
      <c r="A57" s="16" t="s">
        <v>887</v>
      </c>
      <c r="B57" s="16" t="s">
        <v>20</v>
      </c>
      <c r="C57" s="17">
        <v>32849575.699999999</v>
      </c>
      <c r="D57" s="15" t="s">
        <v>7</v>
      </c>
      <c r="E57" s="16" t="s">
        <v>20</v>
      </c>
      <c r="F57" s="16"/>
    </row>
    <row r="58" spans="1:6" x14ac:dyDescent="0.25">
      <c r="A58" s="6" t="s">
        <v>888</v>
      </c>
      <c r="B58" s="6" t="s">
        <v>11</v>
      </c>
      <c r="C58" s="7">
        <v>43.84</v>
      </c>
      <c r="D58" s="5" t="s">
        <v>7</v>
      </c>
      <c r="E58" s="6" t="s">
        <v>42</v>
      </c>
      <c r="F58" s="6"/>
    </row>
    <row r="59" spans="1:6" x14ac:dyDescent="0.25">
      <c r="A59" s="6" t="s">
        <v>888</v>
      </c>
      <c r="B59" s="6" t="s">
        <v>13</v>
      </c>
      <c r="C59" s="7">
        <v>995063.95</v>
      </c>
      <c r="D59" s="5" t="s">
        <v>7</v>
      </c>
      <c r="E59" s="6" t="s">
        <v>42</v>
      </c>
      <c r="F59" s="6"/>
    </row>
    <row r="60" spans="1:6" x14ac:dyDescent="0.25">
      <c r="A60" s="6" t="s">
        <v>888</v>
      </c>
      <c r="B60" s="6" t="s">
        <v>13</v>
      </c>
      <c r="C60" s="7">
        <v>2313230.89</v>
      </c>
      <c r="D60" s="5" t="s">
        <v>7</v>
      </c>
      <c r="E60" s="6" t="s">
        <v>42</v>
      </c>
      <c r="F60" s="6"/>
    </row>
    <row r="61" spans="1:6" x14ac:dyDescent="0.25">
      <c r="A61" s="6" t="s">
        <v>888</v>
      </c>
      <c r="B61" s="6" t="s">
        <v>13</v>
      </c>
      <c r="C61" s="7">
        <v>26060105.68</v>
      </c>
      <c r="D61" s="5" t="s">
        <v>7</v>
      </c>
      <c r="E61" s="6" t="s">
        <v>42</v>
      </c>
      <c r="F61" s="6"/>
    </row>
    <row r="62" spans="1:6" x14ac:dyDescent="0.25">
      <c r="A62" s="6" t="s">
        <v>888</v>
      </c>
      <c r="B62" s="6" t="s">
        <v>13</v>
      </c>
      <c r="C62" s="7">
        <v>11706.61</v>
      </c>
      <c r="D62" s="5" t="s">
        <v>7</v>
      </c>
      <c r="E62" s="6" t="s">
        <v>42</v>
      </c>
      <c r="F62" s="6"/>
    </row>
    <row r="63" spans="1:6" x14ac:dyDescent="0.25">
      <c r="A63" s="11" t="s">
        <v>888</v>
      </c>
      <c r="B63" s="11" t="s">
        <v>14</v>
      </c>
      <c r="C63" s="13">
        <v>8497.14</v>
      </c>
      <c r="D63" s="12" t="s">
        <v>7</v>
      </c>
      <c r="E63" s="11" t="s">
        <v>43</v>
      </c>
      <c r="F63" s="11"/>
    </row>
    <row r="64" spans="1:6" x14ac:dyDescent="0.25">
      <c r="A64" s="6" t="s">
        <v>888</v>
      </c>
      <c r="B64" s="6" t="s">
        <v>14</v>
      </c>
      <c r="C64" s="7">
        <v>4929.62</v>
      </c>
      <c r="D64" s="5" t="s">
        <v>7</v>
      </c>
      <c r="E64" s="6" t="s">
        <v>42</v>
      </c>
      <c r="F64" s="6"/>
    </row>
    <row r="65" spans="1:6" hidden="1" x14ac:dyDescent="0.25">
      <c r="A65" s="11" t="s">
        <v>888</v>
      </c>
      <c r="B65" s="11" t="s">
        <v>15</v>
      </c>
      <c r="C65" s="13">
        <v>8497.14</v>
      </c>
      <c r="D65" s="12" t="s">
        <v>16</v>
      </c>
      <c r="E65" s="11" t="s">
        <v>43</v>
      </c>
      <c r="F65" s="11"/>
    </row>
    <row r="66" spans="1:6" hidden="1" x14ac:dyDescent="0.25">
      <c r="A66" s="16" t="s">
        <v>888</v>
      </c>
      <c r="B66" s="16" t="s">
        <v>17</v>
      </c>
      <c r="C66" s="17">
        <v>29385080.59</v>
      </c>
      <c r="D66" s="15" t="s">
        <v>16</v>
      </c>
      <c r="E66" s="16" t="s">
        <v>44</v>
      </c>
      <c r="F66" s="16"/>
    </row>
  </sheetData>
  <autoFilter ref="A3:F66" xr:uid="{B5B52D20-53EF-41C1-8D5F-306ED7E20748}">
    <filterColumn colId="3">
      <filters>
        <filter val="C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CA3F-3000-4B16-B763-3C2D461CA522}">
  <dimension ref="B2:I56"/>
  <sheetViews>
    <sheetView topLeftCell="A16" zoomScaleNormal="100" workbookViewId="0">
      <selection activeCell="E17" sqref="E17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0.5703125" style="62" customWidth="1"/>
    <col min="9" max="9" width="19.42578125" style="62" customWidth="1"/>
    <col min="10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913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66759.429999999993</v>
      </c>
      <c r="F5" s="104">
        <f>E5+'Saldos - 04-2025'!F5</f>
        <v>335240.75999999995</v>
      </c>
    </row>
    <row r="6" spans="2:8" x14ac:dyDescent="0.25">
      <c r="B6" s="401" t="s">
        <v>405</v>
      </c>
      <c r="C6" s="402"/>
      <c r="D6" s="402"/>
      <c r="E6" s="105">
        <v>0</v>
      </c>
      <c r="F6" s="104">
        <f>E6+'Saldos - 04-2025'!F6</f>
        <v>1648620.1</v>
      </c>
    </row>
    <row r="7" spans="2:8" x14ac:dyDescent="0.25">
      <c r="B7" s="401" t="s">
        <v>406</v>
      </c>
      <c r="C7" s="402"/>
      <c r="D7" s="402"/>
      <c r="E7" s="105">
        <v>83831709.600000009</v>
      </c>
      <c r="F7" s="104">
        <f>E7+'Saldos - 04-2025'!F7</f>
        <v>385973422.25999999</v>
      </c>
    </row>
    <row r="8" spans="2:8" x14ac:dyDescent="0.25">
      <c r="B8" s="401" t="s">
        <v>407</v>
      </c>
      <c r="C8" s="402"/>
      <c r="D8" s="402"/>
      <c r="E8" s="105">
        <v>19018969.359999999</v>
      </c>
      <c r="F8" s="104">
        <f>E8+'Saldos - 04-2025'!F8</f>
        <v>77570707.900000006</v>
      </c>
    </row>
    <row r="9" spans="2:8" x14ac:dyDescent="0.25">
      <c r="B9" s="401" t="s">
        <v>408</v>
      </c>
      <c r="C9" s="402"/>
      <c r="D9" s="402"/>
      <c r="E9" s="105">
        <v>1203990.6300000001</v>
      </c>
      <c r="F9" s="104">
        <f>E9+'Saldos - 04-2025'!F9</f>
        <v>9210672.7699999996</v>
      </c>
    </row>
    <row r="10" spans="2:8" x14ac:dyDescent="0.25">
      <c r="B10" s="401" t="s">
        <v>409</v>
      </c>
      <c r="C10" s="402"/>
      <c r="D10" s="402"/>
      <c r="E10" s="105">
        <v>28418.13</v>
      </c>
      <c r="F10" s="104">
        <f>E10+'Saldos - 04-2025'!F10</f>
        <v>161365</v>
      </c>
    </row>
    <row r="11" spans="2:8" x14ac:dyDescent="0.25">
      <c r="B11" s="401" t="s">
        <v>410</v>
      </c>
      <c r="C11" s="402"/>
      <c r="D11" s="402"/>
      <c r="E11" s="105">
        <v>1790.3600000000001</v>
      </c>
      <c r="F11" s="104">
        <f>E11+'Saldos - 04-2025'!F11</f>
        <v>5646.27</v>
      </c>
    </row>
    <row r="12" spans="2:8" x14ac:dyDescent="0.25">
      <c r="B12" s="403" t="s">
        <v>411</v>
      </c>
      <c r="C12" s="404"/>
      <c r="D12" s="404"/>
      <c r="E12" s="107">
        <v>103.93</v>
      </c>
      <c r="F12" s="108">
        <f>E12+'Saldos - 04-2025'!F12</f>
        <v>430.22</v>
      </c>
    </row>
    <row r="13" spans="2:8" ht="15.75" thickBot="1" x14ac:dyDescent="0.3">
      <c r="B13" s="405" t="s">
        <v>412</v>
      </c>
      <c r="C13" s="406"/>
      <c r="D13" s="406"/>
      <c r="E13" s="110">
        <v>75046431.659999996</v>
      </c>
      <c r="F13" s="111">
        <f>E13+'Saldos - 04-2025'!F13</f>
        <v>326225700.24000001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179198173.10000002</v>
      </c>
      <c r="F14" s="100">
        <f>SUM(F5:F13)</f>
        <v>801131805.51999998</v>
      </c>
      <c r="H14" s="123"/>
    </row>
    <row r="15" spans="2:8" x14ac:dyDescent="0.25">
      <c r="B15" s="419" t="s">
        <v>414</v>
      </c>
      <c r="C15" s="420"/>
      <c r="D15" s="420"/>
      <c r="E15" s="316">
        <v>-42248.78</v>
      </c>
      <c r="F15" s="317">
        <f>E15+'Saldos - 04-2025'!F15</f>
        <v>-212157.57</v>
      </c>
    </row>
    <row r="16" spans="2:8" x14ac:dyDescent="0.25">
      <c r="B16" s="413" t="s">
        <v>415</v>
      </c>
      <c r="C16" s="414"/>
      <c r="D16" s="414"/>
      <c r="E16" s="318">
        <f>-E12</f>
        <v>-103.93</v>
      </c>
      <c r="F16" s="319">
        <f>E16+'Saldos - 04-2025'!F16</f>
        <v>-430.22</v>
      </c>
    </row>
    <row r="17" spans="2:8" x14ac:dyDescent="0.25">
      <c r="B17" s="415" t="s">
        <v>439</v>
      </c>
      <c r="C17" s="416"/>
      <c r="D17" s="416"/>
      <c r="E17" s="320">
        <f>-E13</f>
        <v>-75046431.659999996</v>
      </c>
      <c r="F17" s="321">
        <f>E17+'Saldos - 04-2025'!F17</f>
        <v>-326225700.24000001</v>
      </c>
    </row>
    <row r="18" spans="2:8" ht="15.75" thickBot="1" x14ac:dyDescent="0.3">
      <c r="B18" s="417" t="s">
        <v>440</v>
      </c>
      <c r="C18" s="418"/>
      <c r="D18" s="418"/>
      <c r="E18" s="322">
        <v>0</v>
      </c>
      <c r="F18" s="323">
        <f>E18+'Saldos - 04-2025'!F18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104109388.73000002</v>
      </c>
      <c r="F19" s="122">
        <f>SUM(F14:F18)</f>
        <v>474528871.79999989</v>
      </c>
      <c r="G19" s="313" t="s">
        <v>927</v>
      </c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42248.78</v>
      </c>
      <c r="F22" s="130">
        <f>E22+'Saldos - 04-2025'!F22</f>
        <v>212157.56999999998</v>
      </c>
    </row>
    <row r="23" spans="2:8" x14ac:dyDescent="0.25">
      <c r="B23" s="383" t="s">
        <v>442</v>
      </c>
      <c r="C23" s="384"/>
      <c r="D23" s="384"/>
      <c r="E23" s="109">
        <v>0</v>
      </c>
      <c r="F23" s="131">
        <f>E23+'Saldos - 04-2025'!F23</f>
        <v>0</v>
      </c>
    </row>
    <row r="24" spans="2:8" x14ac:dyDescent="0.25">
      <c r="B24" s="385" t="s">
        <v>914</v>
      </c>
      <c r="C24" s="386"/>
      <c r="D24" s="386"/>
      <c r="E24" s="132">
        <v>42196959.890000001</v>
      </c>
      <c r="F24" s="133">
        <f>E24+'Saldos - 04-2025'!F24</f>
        <v>164061332.26999998</v>
      </c>
    </row>
    <row r="25" spans="2:8" x14ac:dyDescent="0.25">
      <c r="B25" s="385" t="s">
        <v>433</v>
      </c>
      <c r="C25" s="386"/>
      <c r="D25" s="386"/>
      <c r="E25" s="132">
        <v>0</v>
      </c>
      <c r="F25" s="133">
        <f>'Saldos - 04-2025'!F25</f>
        <v>34311367.489999995</v>
      </c>
    </row>
    <row r="26" spans="2:8" x14ac:dyDescent="0.25">
      <c r="B26" s="385" t="s">
        <v>447</v>
      </c>
      <c r="C26" s="386"/>
      <c r="D26" s="386"/>
      <c r="E26" s="132">
        <v>0</v>
      </c>
      <c r="F26" s="133">
        <f>'Saldos - 04-2025'!F26</f>
        <v>34175581.810000002</v>
      </c>
    </row>
    <row r="27" spans="2:8" x14ac:dyDescent="0.25">
      <c r="B27" s="385" t="s">
        <v>626</v>
      </c>
      <c r="C27" s="386"/>
      <c r="D27" s="386"/>
      <c r="E27" s="132">
        <v>0</v>
      </c>
      <c r="F27" s="133">
        <f>'Saldos - 04-2025'!F27</f>
        <v>33980887.539999999</v>
      </c>
    </row>
    <row r="28" spans="2:8" x14ac:dyDescent="0.25">
      <c r="B28" s="385" t="s">
        <v>632</v>
      </c>
      <c r="C28" s="386"/>
      <c r="D28" s="386"/>
      <c r="E28" s="132">
        <v>0</v>
      </c>
      <c r="F28" s="133">
        <f>'Saldos - 04-2025'!F28</f>
        <v>35798381.659999996</v>
      </c>
    </row>
    <row r="29" spans="2:8" x14ac:dyDescent="0.25">
      <c r="B29" s="385" t="s">
        <v>915</v>
      </c>
      <c r="C29" s="386"/>
      <c r="D29" s="386"/>
      <c r="E29" s="132">
        <v>35751704.669999994</v>
      </c>
      <c r="F29" s="133">
        <f>E29</f>
        <v>35751704.669999994</v>
      </c>
    </row>
    <row r="30" spans="2:8" x14ac:dyDescent="0.25">
      <c r="B30" s="385" t="s">
        <v>916</v>
      </c>
      <c r="C30" s="386"/>
      <c r="D30" s="386"/>
      <c r="E30" s="132">
        <v>0</v>
      </c>
      <c r="F30" s="133">
        <f>E30+'Saldos - 04-2025'!F29</f>
        <v>15697875.6</v>
      </c>
    </row>
    <row r="31" spans="2:8" x14ac:dyDescent="0.25">
      <c r="B31" s="385" t="s">
        <v>917</v>
      </c>
      <c r="C31" s="386"/>
      <c r="D31" s="386"/>
      <c r="E31" s="132">
        <v>0</v>
      </c>
      <c r="F31" s="133">
        <f>E31+'Saldos - 04-2025'!F30</f>
        <v>164645.69</v>
      </c>
    </row>
    <row r="32" spans="2:8" x14ac:dyDescent="0.25">
      <c r="B32" s="385" t="s">
        <v>918</v>
      </c>
      <c r="C32" s="386"/>
      <c r="D32" s="386"/>
      <c r="E32" s="154">
        <v>0</v>
      </c>
      <c r="F32" s="133">
        <f>E32+'Saldos - 04-2025'!F31</f>
        <v>3671.5799999999995</v>
      </c>
    </row>
    <row r="33" spans="2:9" x14ac:dyDescent="0.25">
      <c r="B33" s="385" t="s">
        <v>919</v>
      </c>
      <c r="C33" s="386"/>
      <c r="D33" s="386"/>
      <c r="E33" s="154">
        <v>0</v>
      </c>
      <c r="F33" s="133">
        <f>E33+'Saldos - 04-2025'!F32</f>
        <v>20059.12</v>
      </c>
    </row>
    <row r="34" spans="2:9" x14ac:dyDescent="0.25">
      <c r="B34" s="387" t="s">
        <v>451</v>
      </c>
      <c r="C34" s="388"/>
      <c r="D34" s="388"/>
      <c r="E34" s="134">
        <v>0</v>
      </c>
      <c r="F34" s="135">
        <f>E34+'Saldos - 04-2025'!F33</f>
        <v>7490.51</v>
      </c>
    </row>
    <row r="35" spans="2:9" ht="15.75" thickBot="1" x14ac:dyDescent="0.3">
      <c r="B35" s="389" t="s">
        <v>444</v>
      </c>
      <c r="C35" s="390"/>
      <c r="D35" s="390"/>
      <c r="E35" s="136">
        <v>101207259.76000001</v>
      </c>
      <c r="F35" s="137">
        <f>E35+'Saldos - 04-2025'!F34</f>
        <v>446946650.00999999</v>
      </c>
      <c r="H35" s="123"/>
    </row>
    <row r="36" spans="2:9" ht="15.75" thickBot="1" x14ac:dyDescent="0.3">
      <c r="B36" s="391" t="s">
        <v>418</v>
      </c>
      <c r="C36" s="392"/>
      <c r="D36" s="392"/>
      <c r="E36" s="127">
        <f>SUM(E22:E35)</f>
        <v>179198173.10000002</v>
      </c>
      <c r="F36" s="138">
        <f>SUM(F22:F35)</f>
        <v>801131805.51999998</v>
      </c>
      <c r="G36" s="313" t="s">
        <v>927</v>
      </c>
      <c r="H36" s="123">
        <f>E36-E14</f>
        <v>0</v>
      </c>
    </row>
    <row r="37" spans="2:9" x14ac:dyDescent="0.25">
      <c r="B37" s="374" t="s">
        <v>419</v>
      </c>
      <c r="C37" s="375"/>
      <c r="D37" s="376"/>
      <c r="E37" s="112">
        <f>-E22</f>
        <v>-42248.78</v>
      </c>
      <c r="F37" s="139">
        <f>E37+'Saldos - 04-2025'!F36</f>
        <v>-212157.56999999998</v>
      </c>
      <c r="H37" s="94"/>
      <c r="I37" s="94"/>
    </row>
    <row r="38" spans="2:9" x14ac:dyDescent="0.25">
      <c r="B38" s="377" t="s">
        <v>420</v>
      </c>
      <c r="C38" s="378"/>
      <c r="D38" s="379"/>
      <c r="E38" s="118">
        <f>-E35</f>
        <v>-101207259.76000001</v>
      </c>
      <c r="F38" s="247">
        <f>E38+'Saldos - 04-2025'!F37</f>
        <v>-446946650.00999999</v>
      </c>
      <c r="I38" s="94"/>
    </row>
    <row r="39" spans="2:9" x14ac:dyDescent="0.25">
      <c r="B39" s="367" t="s">
        <v>920</v>
      </c>
      <c r="C39" s="368"/>
      <c r="D39" s="368"/>
      <c r="E39" s="109">
        <v>-103.93</v>
      </c>
      <c r="F39" s="246">
        <f>E39+'Saldos - 04-2025'!F38</f>
        <v>-319.04000000000002</v>
      </c>
    </row>
    <row r="40" spans="2:9" x14ac:dyDescent="0.25">
      <c r="B40" s="380" t="s">
        <v>453</v>
      </c>
      <c r="C40" s="381"/>
      <c r="D40" s="382"/>
      <c r="E40" s="134">
        <f>-E34</f>
        <v>0</v>
      </c>
      <c r="F40" s="245">
        <f>E40+'Saldos - 04-2025'!F39</f>
        <v>-7490.51</v>
      </c>
      <c r="H40" s="178"/>
    </row>
    <row r="41" spans="2:9" x14ac:dyDescent="0.25">
      <c r="B41" s="383" t="s">
        <v>423</v>
      </c>
      <c r="C41" s="384"/>
      <c r="D41" s="384"/>
      <c r="E41" s="116">
        <f>-E29</f>
        <v>-35751704.669999994</v>
      </c>
      <c r="F41" s="246">
        <f>E41+'Saldos - 04-2025'!F40</f>
        <v>-69976153.25999999</v>
      </c>
      <c r="H41" s="123"/>
    </row>
    <row r="42" spans="2:9" x14ac:dyDescent="0.25">
      <c r="B42" s="383" t="s">
        <v>455</v>
      </c>
      <c r="C42" s="384"/>
      <c r="D42" s="384"/>
      <c r="E42" s="116">
        <v>0</v>
      </c>
      <c r="F42" s="246">
        <f>E42+'Saldos - 04-2025'!F41</f>
        <v>-164645.69</v>
      </c>
      <c r="H42" s="178"/>
      <c r="I42" s="123"/>
    </row>
    <row r="43" spans="2:9" x14ac:dyDescent="0.25">
      <c r="B43" s="383" t="s">
        <v>458</v>
      </c>
      <c r="C43" s="384"/>
      <c r="D43" s="384"/>
      <c r="E43" s="116">
        <v>0</v>
      </c>
      <c r="F43" s="246">
        <f>E43+'Saldos - 04-2025'!F42</f>
        <v>-20059.12</v>
      </c>
      <c r="H43" s="178"/>
    </row>
    <row r="44" spans="2:9" ht="15.75" customHeight="1" x14ac:dyDescent="0.25">
      <c r="B44" s="367" t="s">
        <v>456</v>
      </c>
      <c r="C44" s="368"/>
      <c r="D44" s="368"/>
      <c r="E44" s="116">
        <v>54550.51</v>
      </c>
      <c r="F44" s="246">
        <f>E44+'Saldos - 04-2025'!F43</f>
        <v>34278021.539999999</v>
      </c>
    </row>
    <row r="45" spans="2:9" ht="15.75" customHeight="1" x14ac:dyDescent="0.25">
      <c r="B45" s="367" t="s">
        <v>921</v>
      </c>
      <c r="C45" s="368"/>
      <c r="D45" s="368"/>
      <c r="E45" s="116">
        <v>0</v>
      </c>
      <c r="F45" s="246">
        <f>E45+'Saldos - 04-2025'!F44</f>
        <v>-667.56</v>
      </c>
    </row>
    <row r="46" spans="2:9" ht="15.75" customHeight="1" x14ac:dyDescent="0.25">
      <c r="B46" s="367" t="s">
        <v>922</v>
      </c>
      <c r="C46" s="368"/>
      <c r="D46" s="368"/>
      <c r="E46" s="116">
        <v>667.56</v>
      </c>
      <c r="F46" s="246">
        <f>E46</f>
        <v>667.56</v>
      </c>
      <c r="H46" s="123"/>
    </row>
    <row r="47" spans="2:9" x14ac:dyDescent="0.25">
      <c r="B47" s="367" t="s">
        <v>923</v>
      </c>
      <c r="C47" s="368"/>
      <c r="D47" s="368"/>
      <c r="E47" s="116">
        <v>333.78</v>
      </c>
      <c r="F47" s="246">
        <f>E47</f>
        <v>333.78</v>
      </c>
      <c r="H47" s="123"/>
    </row>
    <row r="48" spans="2:9" ht="15.75" thickBot="1" x14ac:dyDescent="0.3">
      <c r="B48" s="369" t="s">
        <v>424</v>
      </c>
      <c r="C48" s="369"/>
      <c r="D48" s="370"/>
      <c r="E48" s="145">
        <f>SUM(E36:E47)</f>
        <v>42252407.810000017</v>
      </c>
      <c r="F48" s="146">
        <f>SUM(F36:F47)</f>
        <v>318082685.63999993</v>
      </c>
      <c r="H48" s="123"/>
    </row>
    <row r="49" spans="2:8" x14ac:dyDescent="0.25">
      <c r="B49" s="124"/>
      <c r="D49" s="125"/>
      <c r="E49" s="147">
        <f>E48-'REF - MAIO'!D2</f>
        <v>0</v>
      </c>
      <c r="F49" s="123"/>
      <c r="H49" s="123"/>
    </row>
    <row r="50" spans="2:8" x14ac:dyDescent="0.25">
      <c r="B50" s="371" t="s">
        <v>425</v>
      </c>
      <c r="C50" s="372"/>
      <c r="D50" s="373"/>
      <c r="E50" s="148"/>
      <c r="F50" s="123"/>
    </row>
    <row r="51" spans="2:8" x14ac:dyDescent="0.25">
      <c r="B51" s="364" t="s">
        <v>426</v>
      </c>
      <c r="C51" s="365"/>
      <c r="D51" s="366"/>
      <c r="E51" s="149">
        <v>112679041.72</v>
      </c>
      <c r="F51" s="123"/>
    </row>
    <row r="52" spans="2:8" x14ac:dyDescent="0.25">
      <c r="B52" s="364" t="s">
        <v>427</v>
      </c>
      <c r="C52" s="365"/>
      <c r="D52" s="366"/>
      <c r="E52" s="150">
        <v>101207259.76000001</v>
      </c>
    </row>
    <row r="53" spans="2:8" x14ac:dyDescent="0.25">
      <c r="B53" s="364" t="s">
        <v>428</v>
      </c>
      <c r="C53" s="365"/>
      <c r="D53" s="366"/>
      <c r="E53" s="149">
        <v>75046431.659999996</v>
      </c>
    </row>
    <row r="54" spans="2:8" x14ac:dyDescent="0.25">
      <c r="B54" s="364" t="s">
        <v>429</v>
      </c>
      <c r="C54" s="365"/>
      <c r="D54" s="366"/>
      <c r="E54" s="149">
        <v>1070137.31</v>
      </c>
      <c r="F54" s="94"/>
    </row>
    <row r="55" spans="2:8" x14ac:dyDescent="0.25">
      <c r="B55" s="364" t="s">
        <v>430</v>
      </c>
      <c r="C55" s="365"/>
      <c r="D55" s="366"/>
      <c r="E55" s="151">
        <f>E51+E52-E53+E54</f>
        <v>139910007.13000003</v>
      </c>
      <c r="F55" s="123"/>
    </row>
    <row r="56" spans="2:8" x14ac:dyDescent="0.25">
      <c r="B56" s="152"/>
      <c r="C56" s="93"/>
      <c r="D56" s="93"/>
      <c r="E56" s="153"/>
    </row>
  </sheetData>
  <mergeCells count="50">
    <mergeCell ref="B15:D15"/>
    <mergeCell ref="B2:F2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28:D28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47:D47"/>
    <mergeCell ref="B48:D48"/>
    <mergeCell ref="B50:D50"/>
    <mergeCell ref="B36:D36"/>
    <mergeCell ref="B37:D37"/>
    <mergeCell ref="B38:D38"/>
    <mergeCell ref="B39:D39"/>
    <mergeCell ref="B40:D40"/>
    <mergeCell ref="B41:D41"/>
    <mergeCell ref="B29:D29"/>
    <mergeCell ref="B46:D46"/>
    <mergeCell ref="B45:D45"/>
    <mergeCell ref="B42:D42"/>
    <mergeCell ref="B43:D43"/>
    <mergeCell ref="B44:D44"/>
    <mergeCell ref="B30:D30"/>
    <mergeCell ref="B31:D31"/>
    <mergeCell ref="B32:D32"/>
    <mergeCell ref="B33:D33"/>
    <mergeCell ref="B34:D34"/>
    <mergeCell ref="B35:D35"/>
    <mergeCell ref="B51:D51"/>
    <mergeCell ref="B52:D52"/>
    <mergeCell ref="B53:D53"/>
    <mergeCell ref="B54:D54"/>
    <mergeCell ref="B55:D5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CEF8-3E96-4FE3-B4A9-D1EC7978992C}">
  <dimension ref="A2:G53"/>
  <sheetViews>
    <sheetView workbookViewId="0">
      <selection activeCell="D2" sqref="D2"/>
    </sheetView>
  </sheetViews>
  <sheetFormatPr defaultRowHeight="15" x14ac:dyDescent="0.25"/>
  <cols>
    <col min="1" max="1" width="13.42578125" customWidth="1"/>
    <col min="2" max="2" width="14.140625" style="2" customWidth="1"/>
    <col min="3" max="3" width="49.5703125" customWidth="1"/>
    <col min="4" max="4" width="14.28515625" style="250" bestFit="1" customWidth="1"/>
    <col min="5" max="5" width="19" style="2" customWidth="1"/>
    <col min="6" max="6" width="16" style="2" customWidth="1"/>
    <col min="7" max="7" width="13.28515625" style="2" customWidth="1"/>
    <col min="252" max="253" width="11" bestFit="1" customWidth="1"/>
    <col min="254" max="254" width="40" bestFit="1" customWidth="1"/>
    <col min="255" max="255" width="13" bestFit="1" customWidth="1"/>
    <col min="256" max="256" width="14" bestFit="1" customWidth="1"/>
    <col min="257" max="258" width="13" bestFit="1" customWidth="1"/>
    <col min="259" max="259" width="14" bestFit="1" customWidth="1"/>
    <col min="260" max="260" width="30" bestFit="1" customWidth="1"/>
    <col min="508" max="509" width="11" bestFit="1" customWidth="1"/>
    <col min="510" max="510" width="40" bestFit="1" customWidth="1"/>
    <col min="511" max="511" width="13" bestFit="1" customWidth="1"/>
    <col min="512" max="512" width="14" bestFit="1" customWidth="1"/>
    <col min="513" max="514" width="13" bestFit="1" customWidth="1"/>
    <col min="515" max="515" width="14" bestFit="1" customWidth="1"/>
    <col min="516" max="516" width="30" bestFit="1" customWidth="1"/>
    <col min="764" max="765" width="11" bestFit="1" customWidth="1"/>
    <col min="766" max="766" width="40" bestFit="1" customWidth="1"/>
    <col min="767" max="767" width="13" bestFit="1" customWidth="1"/>
    <col min="768" max="768" width="14" bestFit="1" customWidth="1"/>
    <col min="769" max="770" width="13" bestFit="1" customWidth="1"/>
    <col min="771" max="771" width="14" bestFit="1" customWidth="1"/>
    <col min="772" max="772" width="30" bestFit="1" customWidth="1"/>
    <col min="1020" max="1021" width="11" bestFit="1" customWidth="1"/>
    <col min="1022" max="1022" width="40" bestFit="1" customWidth="1"/>
    <col min="1023" max="1023" width="13" bestFit="1" customWidth="1"/>
    <col min="1024" max="1024" width="14" bestFit="1" customWidth="1"/>
    <col min="1025" max="1026" width="13" bestFit="1" customWidth="1"/>
    <col min="1027" max="1027" width="14" bestFit="1" customWidth="1"/>
    <col min="1028" max="1028" width="30" bestFit="1" customWidth="1"/>
    <col min="1276" max="1277" width="11" bestFit="1" customWidth="1"/>
    <col min="1278" max="1278" width="40" bestFit="1" customWidth="1"/>
    <col min="1279" max="1279" width="13" bestFit="1" customWidth="1"/>
    <col min="1280" max="1280" width="14" bestFit="1" customWidth="1"/>
    <col min="1281" max="1282" width="13" bestFit="1" customWidth="1"/>
    <col min="1283" max="1283" width="14" bestFit="1" customWidth="1"/>
    <col min="1284" max="1284" width="30" bestFit="1" customWidth="1"/>
    <col min="1532" max="1533" width="11" bestFit="1" customWidth="1"/>
    <col min="1534" max="1534" width="40" bestFit="1" customWidth="1"/>
    <col min="1535" max="1535" width="13" bestFit="1" customWidth="1"/>
    <col min="1536" max="1536" width="14" bestFit="1" customWidth="1"/>
    <col min="1537" max="1538" width="13" bestFit="1" customWidth="1"/>
    <col min="1539" max="1539" width="14" bestFit="1" customWidth="1"/>
    <col min="1540" max="1540" width="30" bestFit="1" customWidth="1"/>
    <col min="1788" max="1789" width="11" bestFit="1" customWidth="1"/>
    <col min="1790" max="1790" width="40" bestFit="1" customWidth="1"/>
    <col min="1791" max="1791" width="13" bestFit="1" customWidth="1"/>
    <col min="1792" max="1792" width="14" bestFit="1" customWidth="1"/>
    <col min="1793" max="1794" width="13" bestFit="1" customWidth="1"/>
    <col min="1795" max="1795" width="14" bestFit="1" customWidth="1"/>
    <col min="1796" max="1796" width="30" bestFit="1" customWidth="1"/>
    <col min="2044" max="2045" width="11" bestFit="1" customWidth="1"/>
    <col min="2046" max="2046" width="40" bestFit="1" customWidth="1"/>
    <col min="2047" max="2047" width="13" bestFit="1" customWidth="1"/>
    <col min="2048" max="2048" width="14" bestFit="1" customWidth="1"/>
    <col min="2049" max="2050" width="13" bestFit="1" customWidth="1"/>
    <col min="2051" max="2051" width="14" bestFit="1" customWidth="1"/>
    <col min="2052" max="2052" width="30" bestFit="1" customWidth="1"/>
    <col min="2300" max="2301" width="11" bestFit="1" customWidth="1"/>
    <col min="2302" max="2302" width="40" bestFit="1" customWidth="1"/>
    <col min="2303" max="2303" width="13" bestFit="1" customWidth="1"/>
    <col min="2304" max="2304" width="14" bestFit="1" customWidth="1"/>
    <col min="2305" max="2306" width="13" bestFit="1" customWidth="1"/>
    <col min="2307" max="2307" width="14" bestFit="1" customWidth="1"/>
    <col min="2308" max="2308" width="30" bestFit="1" customWidth="1"/>
    <col min="2556" max="2557" width="11" bestFit="1" customWidth="1"/>
    <col min="2558" max="2558" width="40" bestFit="1" customWidth="1"/>
    <col min="2559" max="2559" width="13" bestFit="1" customWidth="1"/>
    <col min="2560" max="2560" width="14" bestFit="1" customWidth="1"/>
    <col min="2561" max="2562" width="13" bestFit="1" customWidth="1"/>
    <col min="2563" max="2563" width="14" bestFit="1" customWidth="1"/>
    <col min="2564" max="2564" width="30" bestFit="1" customWidth="1"/>
    <col min="2812" max="2813" width="11" bestFit="1" customWidth="1"/>
    <col min="2814" max="2814" width="40" bestFit="1" customWidth="1"/>
    <col min="2815" max="2815" width="13" bestFit="1" customWidth="1"/>
    <col min="2816" max="2816" width="14" bestFit="1" customWidth="1"/>
    <col min="2817" max="2818" width="13" bestFit="1" customWidth="1"/>
    <col min="2819" max="2819" width="14" bestFit="1" customWidth="1"/>
    <col min="2820" max="2820" width="30" bestFit="1" customWidth="1"/>
    <col min="3068" max="3069" width="11" bestFit="1" customWidth="1"/>
    <col min="3070" max="3070" width="40" bestFit="1" customWidth="1"/>
    <col min="3071" max="3071" width="13" bestFit="1" customWidth="1"/>
    <col min="3072" max="3072" width="14" bestFit="1" customWidth="1"/>
    <col min="3073" max="3074" width="13" bestFit="1" customWidth="1"/>
    <col min="3075" max="3075" width="14" bestFit="1" customWidth="1"/>
    <col min="3076" max="3076" width="30" bestFit="1" customWidth="1"/>
    <col min="3324" max="3325" width="11" bestFit="1" customWidth="1"/>
    <col min="3326" max="3326" width="40" bestFit="1" customWidth="1"/>
    <col min="3327" max="3327" width="13" bestFit="1" customWidth="1"/>
    <col min="3328" max="3328" width="14" bestFit="1" customWidth="1"/>
    <col min="3329" max="3330" width="13" bestFit="1" customWidth="1"/>
    <col min="3331" max="3331" width="14" bestFit="1" customWidth="1"/>
    <col min="3332" max="3332" width="30" bestFit="1" customWidth="1"/>
    <col min="3580" max="3581" width="11" bestFit="1" customWidth="1"/>
    <col min="3582" max="3582" width="40" bestFit="1" customWidth="1"/>
    <col min="3583" max="3583" width="13" bestFit="1" customWidth="1"/>
    <col min="3584" max="3584" width="14" bestFit="1" customWidth="1"/>
    <col min="3585" max="3586" width="13" bestFit="1" customWidth="1"/>
    <col min="3587" max="3587" width="14" bestFit="1" customWidth="1"/>
    <col min="3588" max="3588" width="30" bestFit="1" customWidth="1"/>
    <col min="3836" max="3837" width="11" bestFit="1" customWidth="1"/>
    <col min="3838" max="3838" width="40" bestFit="1" customWidth="1"/>
    <col min="3839" max="3839" width="13" bestFit="1" customWidth="1"/>
    <col min="3840" max="3840" width="14" bestFit="1" customWidth="1"/>
    <col min="3841" max="3842" width="13" bestFit="1" customWidth="1"/>
    <col min="3843" max="3843" width="14" bestFit="1" customWidth="1"/>
    <col min="3844" max="3844" width="30" bestFit="1" customWidth="1"/>
    <col min="4092" max="4093" width="11" bestFit="1" customWidth="1"/>
    <col min="4094" max="4094" width="40" bestFit="1" customWidth="1"/>
    <col min="4095" max="4095" width="13" bestFit="1" customWidth="1"/>
    <col min="4096" max="4096" width="14" bestFit="1" customWidth="1"/>
    <col min="4097" max="4098" width="13" bestFit="1" customWidth="1"/>
    <col min="4099" max="4099" width="14" bestFit="1" customWidth="1"/>
    <col min="4100" max="4100" width="30" bestFit="1" customWidth="1"/>
    <col min="4348" max="4349" width="11" bestFit="1" customWidth="1"/>
    <col min="4350" max="4350" width="40" bestFit="1" customWidth="1"/>
    <col min="4351" max="4351" width="13" bestFit="1" customWidth="1"/>
    <col min="4352" max="4352" width="14" bestFit="1" customWidth="1"/>
    <col min="4353" max="4354" width="13" bestFit="1" customWidth="1"/>
    <col min="4355" max="4355" width="14" bestFit="1" customWidth="1"/>
    <col min="4356" max="4356" width="30" bestFit="1" customWidth="1"/>
    <col min="4604" max="4605" width="11" bestFit="1" customWidth="1"/>
    <col min="4606" max="4606" width="40" bestFit="1" customWidth="1"/>
    <col min="4607" max="4607" width="13" bestFit="1" customWidth="1"/>
    <col min="4608" max="4608" width="14" bestFit="1" customWidth="1"/>
    <col min="4609" max="4610" width="13" bestFit="1" customWidth="1"/>
    <col min="4611" max="4611" width="14" bestFit="1" customWidth="1"/>
    <col min="4612" max="4612" width="30" bestFit="1" customWidth="1"/>
    <col min="4860" max="4861" width="11" bestFit="1" customWidth="1"/>
    <col min="4862" max="4862" width="40" bestFit="1" customWidth="1"/>
    <col min="4863" max="4863" width="13" bestFit="1" customWidth="1"/>
    <col min="4864" max="4864" width="14" bestFit="1" customWidth="1"/>
    <col min="4865" max="4866" width="13" bestFit="1" customWidth="1"/>
    <col min="4867" max="4867" width="14" bestFit="1" customWidth="1"/>
    <col min="4868" max="4868" width="30" bestFit="1" customWidth="1"/>
    <col min="5116" max="5117" width="11" bestFit="1" customWidth="1"/>
    <col min="5118" max="5118" width="40" bestFit="1" customWidth="1"/>
    <col min="5119" max="5119" width="13" bestFit="1" customWidth="1"/>
    <col min="5120" max="5120" width="14" bestFit="1" customWidth="1"/>
    <col min="5121" max="5122" width="13" bestFit="1" customWidth="1"/>
    <col min="5123" max="5123" width="14" bestFit="1" customWidth="1"/>
    <col min="5124" max="5124" width="30" bestFit="1" customWidth="1"/>
    <col min="5372" max="5373" width="11" bestFit="1" customWidth="1"/>
    <col min="5374" max="5374" width="40" bestFit="1" customWidth="1"/>
    <col min="5375" max="5375" width="13" bestFit="1" customWidth="1"/>
    <col min="5376" max="5376" width="14" bestFit="1" customWidth="1"/>
    <col min="5377" max="5378" width="13" bestFit="1" customWidth="1"/>
    <col min="5379" max="5379" width="14" bestFit="1" customWidth="1"/>
    <col min="5380" max="5380" width="30" bestFit="1" customWidth="1"/>
    <col min="5628" max="5629" width="11" bestFit="1" customWidth="1"/>
    <col min="5630" max="5630" width="40" bestFit="1" customWidth="1"/>
    <col min="5631" max="5631" width="13" bestFit="1" customWidth="1"/>
    <col min="5632" max="5632" width="14" bestFit="1" customWidth="1"/>
    <col min="5633" max="5634" width="13" bestFit="1" customWidth="1"/>
    <col min="5635" max="5635" width="14" bestFit="1" customWidth="1"/>
    <col min="5636" max="5636" width="30" bestFit="1" customWidth="1"/>
    <col min="5884" max="5885" width="11" bestFit="1" customWidth="1"/>
    <col min="5886" max="5886" width="40" bestFit="1" customWidth="1"/>
    <col min="5887" max="5887" width="13" bestFit="1" customWidth="1"/>
    <col min="5888" max="5888" width="14" bestFit="1" customWidth="1"/>
    <col min="5889" max="5890" width="13" bestFit="1" customWidth="1"/>
    <col min="5891" max="5891" width="14" bestFit="1" customWidth="1"/>
    <col min="5892" max="5892" width="30" bestFit="1" customWidth="1"/>
    <col min="6140" max="6141" width="11" bestFit="1" customWidth="1"/>
    <col min="6142" max="6142" width="40" bestFit="1" customWidth="1"/>
    <col min="6143" max="6143" width="13" bestFit="1" customWidth="1"/>
    <col min="6144" max="6144" width="14" bestFit="1" customWidth="1"/>
    <col min="6145" max="6146" width="13" bestFit="1" customWidth="1"/>
    <col min="6147" max="6147" width="14" bestFit="1" customWidth="1"/>
    <col min="6148" max="6148" width="30" bestFit="1" customWidth="1"/>
    <col min="6396" max="6397" width="11" bestFit="1" customWidth="1"/>
    <col min="6398" max="6398" width="40" bestFit="1" customWidth="1"/>
    <col min="6399" max="6399" width="13" bestFit="1" customWidth="1"/>
    <col min="6400" max="6400" width="14" bestFit="1" customWidth="1"/>
    <col min="6401" max="6402" width="13" bestFit="1" customWidth="1"/>
    <col min="6403" max="6403" width="14" bestFit="1" customWidth="1"/>
    <col min="6404" max="6404" width="30" bestFit="1" customWidth="1"/>
    <col min="6652" max="6653" width="11" bestFit="1" customWidth="1"/>
    <col min="6654" max="6654" width="40" bestFit="1" customWidth="1"/>
    <col min="6655" max="6655" width="13" bestFit="1" customWidth="1"/>
    <col min="6656" max="6656" width="14" bestFit="1" customWidth="1"/>
    <col min="6657" max="6658" width="13" bestFit="1" customWidth="1"/>
    <col min="6659" max="6659" width="14" bestFit="1" customWidth="1"/>
    <col min="6660" max="6660" width="30" bestFit="1" customWidth="1"/>
    <col min="6908" max="6909" width="11" bestFit="1" customWidth="1"/>
    <col min="6910" max="6910" width="40" bestFit="1" customWidth="1"/>
    <col min="6911" max="6911" width="13" bestFit="1" customWidth="1"/>
    <col min="6912" max="6912" width="14" bestFit="1" customWidth="1"/>
    <col min="6913" max="6914" width="13" bestFit="1" customWidth="1"/>
    <col min="6915" max="6915" width="14" bestFit="1" customWidth="1"/>
    <col min="6916" max="6916" width="30" bestFit="1" customWidth="1"/>
    <col min="7164" max="7165" width="11" bestFit="1" customWidth="1"/>
    <col min="7166" max="7166" width="40" bestFit="1" customWidth="1"/>
    <col min="7167" max="7167" width="13" bestFit="1" customWidth="1"/>
    <col min="7168" max="7168" width="14" bestFit="1" customWidth="1"/>
    <col min="7169" max="7170" width="13" bestFit="1" customWidth="1"/>
    <col min="7171" max="7171" width="14" bestFit="1" customWidth="1"/>
    <col min="7172" max="7172" width="30" bestFit="1" customWidth="1"/>
    <col min="7420" max="7421" width="11" bestFit="1" customWidth="1"/>
    <col min="7422" max="7422" width="40" bestFit="1" customWidth="1"/>
    <col min="7423" max="7423" width="13" bestFit="1" customWidth="1"/>
    <col min="7424" max="7424" width="14" bestFit="1" customWidth="1"/>
    <col min="7425" max="7426" width="13" bestFit="1" customWidth="1"/>
    <col min="7427" max="7427" width="14" bestFit="1" customWidth="1"/>
    <col min="7428" max="7428" width="30" bestFit="1" customWidth="1"/>
    <col min="7676" max="7677" width="11" bestFit="1" customWidth="1"/>
    <col min="7678" max="7678" width="40" bestFit="1" customWidth="1"/>
    <col min="7679" max="7679" width="13" bestFit="1" customWidth="1"/>
    <col min="7680" max="7680" width="14" bestFit="1" customWidth="1"/>
    <col min="7681" max="7682" width="13" bestFit="1" customWidth="1"/>
    <col min="7683" max="7683" width="14" bestFit="1" customWidth="1"/>
    <col min="7684" max="7684" width="30" bestFit="1" customWidth="1"/>
    <col min="7932" max="7933" width="11" bestFit="1" customWidth="1"/>
    <col min="7934" max="7934" width="40" bestFit="1" customWidth="1"/>
    <col min="7935" max="7935" width="13" bestFit="1" customWidth="1"/>
    <col min="7936" max="7936" width="14" bestFit="1" customWidth="1"/>
    <col min="7937" max="7938" width="13" bestFit="1" customWidth="1"/>
    <col min="7939" max="7939" width="14" bestFit="1" customWidth="1"/>
    <col min="7940" max="7940" width="30" bestFit="1" customWidth="1"/>
    <col min="8188" max="8189" width="11" bestFit="1" customWidth="1"/>
    <col min="8190" max="8190" width="40" bestFit="1" customWidth="1"/>
    <col min="8191" max="8191" width="13" bestFit="1" customWidth="1"/>
    <col min="8192" max="8192" width="14" bestFit="1" customWidth="1"/>
    <col min="8193" max="8194" width="13" bestFit="1" customWidth="1"/>
    <col min="8195" max="8195" width="14" bestFit="1" customWidth="1"/>
    <col min="8196" max="8196" width="30" bestFit="1" customWidth="1"/>
    <col min="8444" max="8445" width="11" bestFit="1" customWidth="1"/>
    <col min="8446" max="8446" width="40" bestFit="1" customWidth="1"/>
    <col min="8447" max="8447" width="13" bestFit="1" customWidth="1"/>
    <col min="8448" max="8448" width="14" bestFit="1" customWidth="1"/>
    <col min="8449" max="8450" width="13" bestFit="1" customWidth="1"/>
    <col min="8451" max="8451" width="14" bestFit="1" customWidth="1"/>
    <col min="8452" max="8452" width="30" bestFit="1" customWidth="1"/>
    <col min="8700" max="8701" width="11" bestFit="1" customWidth="1"/>
    <col min="8702" max="8702" width="40" bestFit="1" customWidth="1"/>
    <col min="8703" max="8703" width="13" bestFit="1" customWidth="1"/>
    <col min="8704" max="8704" width="14" bestFit="1" customWidth="1"/>
    <col min="8705" max="8706" width="13" bestFit="1" customWidth="1"/>
    <col min="8707" max="8707" width="14" bestFit="1" customWidth="1"/>
    <col min="8708" max="8708" width="30" bestFit="1" customWidth="1"/>
    <col min="8956" max="8957" width="11" bestFit="1" customWidth="1"/>
    <col min="8958" max="8958" width="40" bestFit="1" customWidth="1"/>
    <col min="8959" max="8959" width="13" bestFit="1" customWidth="1"/>
    <col min="8960" max="8960" width="14" bestFit="1" customWidth="1"/>
    <col min="8961" max="8962" width="13" bestFit="1" customWidth="1"/>
    <col min="8963" max="8963" width="14" bestFit="1" customWidth="1"/>
    <col min="8964" max="8964" width="30" bestFit="1" customWidth="1"/>
    <col min="9212" max="9213" width="11" bestFit="1" customWidth="1"/>
    <col min="9214" max="9214" width="40" bestFit="1" customWidth="1"/>
    <col min="9215" max="9215" width="13" bestFit="1" customWidth="1"/>
    <col min="9216" max="9216" width="14" bestFit="1" customWidth="1"/>
    <col min="9217" max="9218" width="13" bestFit="1" customWidth="1"/>
    <col min="9219" max="9219" width="14" bestFit="1" customWidth="1"/>
    <col min="9220" max="9220" width="30" bestFit="1" customWidth="1"/>
    <col min="9468" max="9469" width="11" bestFit="1" customWidth="1"/>
    <col min="9470" max="9470" width="40" bestFit="1" customWidth="1"/>
    <col min="9471" max="9471" width="13" bestFit="1" customWidth="1"/>
    <col min="9472" max="9472" width="14" bestFit="1" customWidth="1"/>
    <col min="9473" max="9474" width="13" bestFit="1" customWidth="1"/>
    <col min="9475" max="9475" width="14" bestFit="1" customWidth="1"/>
    <col min="9476" max="9476" width="30" bestFit="1" customWidth="1"/>
    <col min="9724" max="9725" width="11" bestFit="1" customWidth="1"/>
    <col min="9726" max="9726" width="40" bestFit="1" customWidth="1"/>
    <col min="9727" max="9727" width="13" bestFit="1" customWidth="1"/>
    <col min="9728" max="9728" width="14" bestFit="1" customWidth="1"/>
    <col min="9729" max="9730" width="13" bestFit="1" customWidth="1"/>
    <col min="9731" max="9731" width="14" bestFit="1" customWidth="1"/>
    <col min="9732" max="9732" width="30" bestFit="1" customWidth="1"/>
    <col min="9980" max="9981" width="11" bestFit="1" customWidth="1"/>
    <col min="9982" max="9982" width="40" bestFit="1" customWidth="1"/>
    <col min="9983" max="9983" width="13" bestFit="1" customWidth="1"/>
    <col min="9984" max="9984" width="14" bestFit="1" customWidth="1"/>
    <col min="9985" max="9986" width="13" bestFit="1" customWidth="1"/>
    <col min="9987" max="9987" width="14" bestFit="1" customWidth="1"/>
    <col min="9988" max="9988" width="30" bestFit="1" customWidth="1"/>
    <col min="10236" max="10237" width="11" bestFit="1" customWidth="1"/>
    <col min="10238" max="10238" width="40" bestFit="1" customWidth="1"/>
    <col min="10239" max="10239" width="13" bestFit="1" customWidth="1"/>
    <col min="10240" max="10240" width="14" bestFit="1" customWidth="1"/>
    <col min="10241" max="10242" width="13" bestFit="1" customWidth="1"/>
    <col min="10243" max="10243" width="14" bestFit="1" customWidth="1"/>
    <col min="10244" max="10244" width="30" bestFit="1" customWidth="1"/>
    <col min="10492" max="10493" width="11" bestFit="1" customWidth="1"/>
    <col min="10494" max="10494" width="40" bestFit="1" customWidth="1"/>
    <col min="10495" max="10495" width="13" bestFit="1" customWidth="1"/>
    <col min="10496" max="10496" width="14" bestFit="1" customWidth="1"/>
    <col min="10497" max="10498" width="13" bestFit="1" customWidth="1"/>
    <col min="10499" max="10499" width="14" bestFit="1" customWidth="1"/>
    <col min="10500" max="10500" width="30" bestFit="1" customWidth="1"/>
    <col min="10748" max="10749" width="11" bestFit="1" customWidth="1"/>
    <col min="10750" max="10750" width="40" bestFit="1" customWidth="1"/>
    <col min="10751" max="10751" width="13" bestFit="1" customWidth="1"/>
    <col min="10752" max="10752" width="14" bestFit="1" customWidth="1"/>
    <col min="10753" max="10754" width="13" bestFit="1" customWidth="1"/>
    <col min="10755" max="10755" width="14" bestFit="1" customWidth="1"/>
    <col min="10756" max="10756" width="30" bestFit="1" customWidth="1"/>
    <col min="11004" max="11005" width="11" bestFit="1" customWidth="1"/>
    <col min="11006" max="11006" width="40" bestFit="1" customWidth="1"/>
    <col min="11007" max="11007" width="13" bestFit="1" customWidth="1"/>
    <col min="11008" max="11008" width="14" bestFit="1" customWidth="1"/>
    <col min="11009" max="11010" width="13" bestFit="1" customWidth="1"/>
    <col min="11011" max="11011" width="14" bestFit="1" customWidth="1"/>
    <col min="11012" max="11012" width="30" bestFit="1" customWidth="1"/>
    <col min="11260" max="11261" width="11" bestFit="1" customWidth="1"/>
    <col min="11262" max="11262" width="40" bestFit="1" customWidth="1"/>
    <col min="11263" max="11263" width="13" bestFit="1" customWidth="1"/>
    <col min="11264" max="11264" width="14" bestFit="1" customWidth="1"/>
    <col min="11265" max="11266" width="13" bestFit="1" customWidth="1"/>
    <col min="11267" max="11267" width="14" bestFit="1" customWidth="1"/>
    <col min="11268" max="11268" width="30" bestFit="1" customWidth="1"/>
    <col min="11516" max="11517" width="11" bestFit="1" customWidth="1"/>
    <col min="11518" max="11518" width="40" bestFit="1" customWidth="1"/>
    <col min="11519" max="11519" width="13" bestFit="1" customWidth="1"/>
    <col min="11520" max="11520" width="14" bestFit="1" customWidth="1"/>
    <col min="11521" max="11522" width="13" bestFit="1" customWidth="1"/>
    <col min="11523" max="11523" width="14" bestFit="1" customWidth="1"/>
    <col min="11524" max="11524" width="30" bestFit="1" customWidth="1"/>
    <col min="11772" max="11773" width="11" bestFit="1" customWidth="1"/>
    <col min="11774" max="11774" width="40" bestFit="1" customWidth="1"/>
    <col min="11775" max="11775" width="13" bestFit="1" customWidth="1"/>
    <col min="11776" max="11776" width="14" bestFit="1" customWidth="1"/>
    <col min="11777" max="11778" width="13" bestFit="1" customWidth="1"/>
    <col min="11779" max="11779" width="14" bestFit="1" customWidth="1"/>
    <col min="11780" max="11780" width="30" bestFit="1" customWidth="1"/>
    <col min="12028" max="12029" width="11" bestFit="1" customWidth="1"/>
    <col min="12030" max="12030" width="40" bestFit="1" customWidth="1"/>
    <col min="12031" max="12031" width="13" bestFit="1" customWidth="1"/>
    <col min="12032" max="12032" width="14" bestFit="1" customWidth="1"/>
    <col min="12033" max="12034" width="13" bestFit="1" customWidth="1"/>
    <col min="12035" max="12035" width="14" bestFit="1" customWidth="1"/>
    <col min="12036" max="12036" width="30" bestFit="1" customWidth="1"/>
    <col min="12284" max="12285" width="11" bestFit="1" customWidth="1"/>
    <col min="12286" max="12286" width="40" bestFit="1" customWidth="1"/>
    <col min="12287" max="12287" width="13" bestFit="1" customWidth="1"/>
    <col min="12288" max="12288" width="14" bestFit="1" customWidth="1"/>
    <col min="12289" max="12290" width="13" bestFit="1" customWidth="1"/>
    <col min="12291" max="12291" width="14" bestFit="1" customWidth="1"/>
    <col min="12292" max="12292" width="30" bestFit="1" customWidth="1"/>
    <col min="12540" max="12541" width="11" bestFit="1" customWidth="1"/>
    <col min="12542" max="12542" width="40" bestFit="1" customWidth="1"/>
    <col min="12543" max="12543" width="13" bestFit="1" customWidth="1"/>
    <col min="12544" max="12544" width="14" bestFit="1" customWidth="1"/>
    <col min="12545" max="12546" width="13" bestFit="1" customWidth="1"/>
    <col min="12547" max="12547" width="14" bestFit="1" customWidth="1"/>
    <col min="12548" max="12548" width="30" bestFit="1" customWidth="1"/>
    <col min="12796" max="12797" width="11" bestFit="1" customWidth="1"/>
    <col min="12798" max="12798" width="40" bestFit="1" customWidth="1"/>
    <col min="12799" max="12799" width="13" bestFit="1" customWidth="1"/>
    <col min="12800" max="12800" width="14" bestFit="1" customWidth="1"/>
    <col min="12801" max="12802" width="13" bestFit="1" customWidth="1"/>
    <col min="12803" max="12803" width="14" bestFit="1" customWidth="1"/>
    <col min="12804" max="12804" width="30" bestFit="1" customWidth="1"/>
    <col min="13052" max="13053" width="11" bestFit="1" customWidth="1"/>
    <col min="13054" max="13054" width="40" bestFit="1" customWidth="1"/>
    <col min="13055" max="13055" width="13" bestFit="1" customWidth="1"/>
    <col min="13056" max="13056" width="14" bestFit="1" customWidth="1"/>
    <col min="13057" max="13058" width="13" bestFit="1" customWidth="1"/>
    <col min="13059" max="13059" width="14" bestFit="1" customWidth="1"/>
    <col min="13060" max="13060" width="30" bestFit="1" customWidth="1"/>
    <col min="13308" max="13309" width="11" bestFit="1" customWidth="1"/>
    <col min="13310" max="13310" width="40" bestFit="1" customWidth="1"/>
    <col min="13311" max="13311" width="13" bestFit="1" customWidth="1"/>
    <col min="13312" max="13312" width="14" bestFit="1" customWidth="1"/>
    <col min="13313" max="13314" width="13" bestFit="1" customWidth="1"/>
    <col min="13315" max="13315" width="14" bestFit="1" customWidth="1"/>
    <col min="13316" max="13316" width="30" bestFit="1" customWidth="1"/>
    <col min="13564" max="13565" width="11" bestFit="1" customWidth="1"/>
    <col min="13566" max="13566" width="40" bestFit="1" customWidth="1"/>
    <col min="13567" max="13567" width="13" bestFit="1" customWidth="1"/>
    <col min="13568" max="13568" width="14" bestFit="1" customWidth="1"/>
    <col min="13569" max="13570" width="13" bestFit="1" customWidth="1"/>
    <col min="13571" max="13571" width="14" bestFit="1" customWidth="1"/>
    <col min="13572" max="13572" width="30" bestFit="1" customWidth="1"/>
    <col min="13820" max="13821" width="11" bestFit="1" customWidth="1"/>
    <col min="13822" max="13822" width="40" bestFit="1" customWidth="1"/>
    <col min="13823" max="13823" width="13" bestFit="1" customWidth="1"/>
    <col min="13824" max="13824" width="14" bestFit="1" customWidth="1"/>
    <col min="13825" max="13826" width="13" bestFit="1" customWidth="1"/>
    <col min="13827" max="13827" width="14" bestFit="1" customWidth="1"/>
    <col min="13828" max="13828" width="30" bestFit="1" customWidth="1"/>
    <col min="14076" max="14077" width="11" bestFit="1" customWidth="1"/>
    <col min="14078" max="14078" width="40" bestFit="1" customWidth="1"/>
    <col min="14079" max="14079" width="13" bestFit="1" customWidth="1"/>
    <col min="14080" max="14080" width="14" bestFit="1" customWidth="1"/>
    <col min="14081" max="14082" width="13" bestFit="1" customWidth="1"/>
    <col min="14083" max="14083" width="14" bestFit="1" customWidth="1"/>
    <col min="14084" max="14084" width="30" bestFit="1" customWidth="1"/>
    <col min="14332" max="14333" width="11" bestFit="1" customWidth="1"/>
    <col min="14334" max="14334" width="40" bestFit="1" customWidth="1"/>
    <col min="14335" max="14335" width="13" bestFit="1" customWidth="1"/>
    <col min="14336" max="14336" width="14" bestFit="1" customWidth="1"/>
    <col min="14337" max="14338" width="13" bestFit="1" customWidth="1"/>
    <col min="14339" max="14339" width="14" bestFit="1" customWidth="1"/>
    <col min="14340" max="14340" width="30" bestFit="1" customWidth="1"/>
    <col min="14588" max="14589" width="11" bestFit="1" customWidth="1"/>
    <col min="14590" max="14590" width="40" bestFit="1" customWidth="1"/>
    <col min="14591" max="14591" width="13" bestFit="1" customWidth="1"/>
    <col min="14592" max="14592" width="14" bestFit="1" customWidth="1"/>
    <col min="14593" max="14594" width="13" bestFit="1" customWidth="1"/>
    <col min="14595" max="14595" width="14" bestFit="1" customWidth="1"/>
    <col min="14596" max="14596" width="30" bestFit="1" customWidth="1"/>
    <col min="14844" max="14845" width="11" bestFit="1" customWidth="1"/>
    <col min="14846" max="14846" width="40" bestFit="1" customWidth="1"/>
    <col min="14847" max="14847" width="13" bestFit="1" customWidth="1"/>
    <col min="14848" max="14848" width="14" bestFit="1" customWidth="1"/>
    <col min="14849" max="14850" width="13" bestFit="1" customWidth="1"/>
    <col min="14851" max="14851" width="14" bestFit="1" customWidth="1"/>
    <col min="14852" max="14852" width="30" bestFit="1" customWidth="1"/>
    <col min="15100" max="15101" width="11" bestFit="1" customWidth="1"/>
    <col min="15102" max="15102" width="40" bestFit="1" customWidth="1"/>
    <col min="15103" max="15103" width="13" bestFit="1" customWidth="1"/>
    <col min="15104" max="15104" width="14" bestFit="1" customWidth="1"/>
    <col min="15105" max="15106" width="13" bestFit="1" customWidth="1"/>
    <col min="15107" max="15107" width="14" bestFit="1" customWidth="1"/>
    <col min="15108" max="15108" width="30" bestFit="1" customWidth="1"/>
    <col min="15356" max="15357" width="11" bestFit="1" customWidth="1"/>
    <col min="15358" max="15358" width="40" bestFit="1" customWidth="1"/>
    <col min="15359" max="15359" width="13" bestFit="1" customWidth="1"/>
    <col min="15360" max="15360" width="14" bestFit="1" customWidth="1"/>
    <col min="15361" max="15362" width="13" bestFit="1" customWidth="1"/>
    <col min="15363" max="15363" width="14" bestFit="1" customWidth="1"/>
    <col min="15364" max="15364" width="30" bestFit="1" customWidth="1"/>
    <col min="15612" max="15613" width="11" bestFit="1" customWidth="1"/>
    <col min="15614" max="15614" width="40" bestFit="1" customWidth="1"/>
    <col min="15615" max="15615" width="13" bestFit="1" customWidth="1"/>
    <col min="15616" max="15616" width="14" bestFit="1" customWidth="1"/>
    <col min="15617" max="15618" width="13" bestFit="1" customWidth="1"/>
    <col min="15619" max="15619" width="14" bestFit="1" customWidth="1"/>
    <col min="15620" max="15620" width="30" bestFit="1" customWidth="1"/>
    <col min="15868" max="15869" width="11" bestFit="1" customWidth="1"/>
    <col min="15870" max="15870" width="40" bestFit="1" customWidth="1"/>
    <col min="15871" max="15871" width="13" bestFit="1" customWidth="1"/>
    <col min="15872" max="15872" width="14" bestFit="1" customWidth="1"/>
    <col min="15873" max="15874" width="13" bestFit="1" customWidth="1"/>
    <col min="15875" max="15875" width="14" bestFit="1" customWidth="1"/>
    <col min="15876" max="15876" width="30" bestFit="1" customWidth="1"/>
    <col min="16124" max="16125" width="11" bestFit="1" customWidth="1"/>
    <col min="16126" max="16126" width="40" bestFit="1" customWidth="1"/>
    <col min="16127" max="16127" width="13" bestFit="1" customWidth="1"/>
    <col min="16128" max="16128" width="14" bestFit="1" customWidth="1"/>
    <col min="16129" max="16130" width="13" bestFit="1" customWidth="1"/>
    <col min="16131" max="16131" width="14" bestFit="1" customWidth="1"/>
    <col min="16132" max="16132" width="30" bestFit="1" customWidth="1"/>
  </cols>
  <sheetData>
    <row r="2" spans="1:7" x14ac:dyDescent="0.25">
      <c r="D2" s="328">
        <f>SUBTOTAL(9,D4:D53)</f>
        <v>42252407.810000017</v>
      </c>
    </row>
    <row r="3" spans="1:7" x14ac:dyDescent="0.25">
      <c r="A3" s="255" t="s">
        <v>150</v>
      </c>
      <c r="B3" s="256" t="s">
        <v>151</v>
      </c>
      <c r="C3" s="257" t="s">
        <v>152</v>
      </c>
      <c r="D3" s="259" t="s">
        <v>738</v>
      </c>
      <c r="E3" s="74" t="s">
        <v>238</v>
      </c>
      <c r="F3" s="74" t="s">
        <v>122</v>
      </c>
      <c r="G3" s="74" t="s">
        <v>239</v>
      </c>
    </row>
    <row r="4" spans="1:7" x14ac:dyDescent="0.25">
      <c r="A4" s="307" t="s">
        <v>740</v>
      </c>
      <c r="B4" s="308" t="s">
        <v>741</v>
      </c>
      <c r="C4" s="309" t="s">
        <v>155</v>
      </c>
      <c r="D4" s="310">
        <v>333.78</v>
      </c>
      <c r="E4" s="311" t="s">
        <v>890</v>
      </c>
      <c r="F4" s="311" t="s">
        <v>907</v>
      </c>
      <c r="G4" s="311"/>
    </row>
    <row r="5" spans="1:7" x14ac:dyDescent="0.25">
      <c r="A5" s="307" t="s">
        <v>742</v>
      </c>
      <c r="B5" s="308" t="s">
        <v>743</v>
      </c>
      <c r="C5" s="309" t="s">
        <v>155</v>
      </c>
      <c r="D5" s="310">
        <v>333.78</v>
      </c>
      <c r="E5" s="311" t="s">
        <v>890</v>
      </c>
      <c r="F5" s="311" t="s">
        <v>907</v>
      </c>
      <c r="G5" s="311"/>
    </row>
    <row r="6" spans="1:7" x14ac:dyDescent="0.25">
      <c r="A6" s="251" t="s">
        <v>744</v>
      </c>
      <c r="B6" s="252" t="s">
        <v>745</v>
      </c>
      <c r="C6" s="258" t="s">
        <v>155</v>
      </c>
      <c r="D6" s="260">
        <v>333.78</v>
      </c>
      <c r="E6" s="266"/>
      <c r="F6" s="266"/>
      <c r="G6" s="266"/>
    </row>
    <row r="7" spans="1:7" x14ac:dyDescent="0.25">
      <c r="A7" s="262" t="s">
        <v>746</v>
      </c>
      <c r="B7" s="263" t="s">
        <v>639</v>
      </c>
      <c r="C7" s="264" t="s">
        <v>155</v>
      </c>
      <c r="D7" s="265">
        <v>19.579999999999998</v>
      </c>
      <c r="E7" s="267" t="s">
        <v>911</v>
      </c>
      <c r="F7" s="267" t="s">
        <v>638</v>
      </c>
      <c r="G7" s="267"/>
    </row>
    <row r="8" spans="1:7" x14ac:dyDescent="0.25">
      <c r="A8" s="262" t="s">
        <v>747</v>
      </c>
      <c r="B8" s="263" t="s">
        <v>659</v>
      </c>
      <c r="C8" s="264" t="s">
        <v>155</v>
      </c>
      <c r="D8" s="265">
        <v>176</v>
      </c>
      <c r="E8" s="267" t="s">
        <v>911</v>
      </c>
      <c r="F8" s="267" t="s">
        <v>658</v>
      </c>
      <c r="G8" s="267"/>
    </row>
    <row r="9" spans="1:7" x14ac:dyDescent="0.25">
      <c r="A9" s="262" t="s">
        <v>748</v>
      </c>
      <c r="B9" s="263" t="s">
        <v>640</v>
      </c>
      <c r="C9" s="264" t="s">
        <v>155</v>
      </c>
      <c r="D9" s="265">
        <v>88</v>
      </c>
      <c r="E9" s="267" t="s">
        <v>911</v>
      </c>
      <c r="F9" s="267" t="s">
        <v>638</v>
      </c>
      <c r="G9" s="267"/>
    </row>
    <row r="10" spans="1:7" x14ac:dyDescent="0.25">
      <c r="A10" s="262" t="s">
        <v>749</v>
      </c>
      <c r="B10" s="263" t="s">
        <v>660</v>
      </c>
      <c r="C10" s="264" t="s">
        <v>155</v>
      </c>
      <c r="D10" s="265">
        <v>20371.72</v>
      </c>
      <c r="E10" s="267" t="s">
        <v>911</v>
      </c>
      <c r="F10" s="267" t="s">
        <v>658</v>
      </c>
      <c r="G10" s="267"/>
    </row>
    <row r="11" spans="1:7" x14ac:dyDescent="0.25">
      <c r="A11" s="262" t="s">
        <v>750</v>
      </c>
      <c r="B11" s="263" t="s">
        <v>641</v>
      </c>
      <c r="C11" s="264" t="s">
        <v>155</v>
      </c>
      <c r="D11" s="265">
        <v>229</v>
      </c>
      <c r="E11" s="267" t="s">
        <v>911</v>
      </c>
      <c r="F11" s="267" t="s">
        <v>638</v>
      </c>
      <c r="G11" s="267"/>
    </row>
    <row r="12" spans="1:7" x14ac:dyDescent="0.25">
      <c r="A12" s="262" t="s">
        <v>751</v>
      </c>
      <c r="B12" s="263" t="s">
        <v>642</v>
      </c>
      <c r="C12" s="264" t="s">
        <v>155</v>
      </c>
      <c r="D12" s="265">
        <v>165</v>
      </c>
      <c r="E12" s="267" t="s">
        <v>911</v>
      </c>
      <c r="F12" s="267" t="s">
        <v>638</v>
      </c>
      <c r="G12" s="267"/>
    </row>
    <row r="13" spans="1:7" x14ac:dyDescent="0.25">
      <c r="A13" s="262" t="s">
        <v>752</v>
      </c>
      <c r="B13" s="263" t="s">
        <v>661</v>
      </c>
      <c r="C13" s="264" t="s">
        <v>155</v>
      </c>
      <c r="D13" s="265">
        <v>9384.76</v>
      </c>
      <c r="E13" s="267" t="s">
        <v>911</v>
      </c>
      <c r="F13" s="267" t="s">
        <v>658</v>
      </c>
      <c r="G13" s="267"/>
    </row>
    <row r="14" spans="1:7" x14ac:dyDescent="0.25">
      <c r="A14" s="262" t="s">
        <v>753</v>
      </c>
      <c r="B14" s="263" t="s">
        <v>643</v>
      </c>
      <c r="C14" s="264" t="s">
        <v>155</v>
      </c>
      <c r="D14" s="265">
        <v>1728.19</v>
      </c>
      <c r="E14" s="267" t="s">
        <v>911</v>
      </c>
      <c r="F14" s="267" t="s">
        <v>638</v>
      </c>
      <c r="G14" s="267"/>
    </row>
    <row r="15" spans="1:7" x14ac:dyDescent="0.25">
      <c r="A15" s="262" t="s">
        <v>754</v>
      </c>
      <c r="B15" s="263" t="s">
        <v>662</v>
      </c>
      <c r="C15" s="264" t="s">
        <v>155</v>
      </c>
      <c r="D15" s="265">
        <v>728012.77</v>
      </c>
      <c r="E15" s="267" t="s">
        <v>911</v>
      </c>
      <c r="F15" s="267" t="s">
        <v>658</v>
      </c>
      <c r="G15" s="267"/>
    </row>
    <row r="16" spans="1:7" x14ac:dyDescent="0.25">
      <c r="A16" s="262" t="s">
        <v>755</v>
      </c>
      <c r="B16" s="263" t="s">
        <v>644</v>
      </c>
      <c r="C16" s="264" t="s">
        <v>155</v>
      </c>
      <c r="D16" s="265">
        <v>374812.87</v>
      </c>
      <c r="E16" s="267" t="s">
        <v>911</v>
      </c>
      <c r="F16" s="267" t="s">
        <v>638</v>
      </c>
      <c r="G16" s="267"/>
    </row>
    <row r="17" spans="1:7" x14ac:dyDescent="0.25">
      <c r="A17" s="262" t="s">
        <v>756</v>
      </c>
      <c r="B17" s="263" t="s">
        <v>663</v>
      </c>
      <c r="C17" s="264" t="s">
        <v>155</v>
      </c>
      <c r="D17" s="265">
        <v>44612.14</v>
      </c>
      <c r="E17" s="267" t="s">
        <v>911</v>
      </c>
      <c r="F17" s="267" t="s">
        <v>658</v>
      </c>
      <c r="G17" s="267"/>
    </row>
    <row r="18" spans="1:7" x14ac:dyDescent="0.25">
      <c r="A18" s="262" t="s">
        <v>757</v>
      </c>
      <c r="B18" s="263" t="s">
        <v>664</v>
      </c>
      <c r="C18" s="264" t="s">
        <v>155</v>
      </c>
      <c r="D18" s="265">
        <v>302.39</v>
      </c>
      <c r="E18" s="267" t="s">
        <v>911</v>
      </c>
      <c r="F18" s="267" t="s">
        <v>658</v>
      </c>
      <c r="G18" s="267"/>
    </row>
    <row r="19" spans="1:7" x14ac:dyDescent="0.25">
      <c r="A19" s="262" t="s">
        <v>758</v>
      </c>
      <c r="B19" s="263" t="s">
        <v>665</v>
      </c>
      <c r="C19" s="264" t="s">
        <v>155</v>
      </c>
      <c r="D19" s="265">
        <v>377372.39</v>
      </c>
      <c r="E19" s="267" t="s">
        <v>911</v>
      </c>
      <c r="F19" s="267" t="s">
        <v>658</v>
      </c>
      <c r="G19" s="267"/>
    </row>
    <row r="20" spans="1:7" x14ac:dyDescent="0.25">
      <c r="A20" s="262" t="s">
        <v>759</v>
      </c>
      <c r="B20" s="263" t="s">
        <v>645</v>
      </c>
      <c r="C20" s="264" t="s">
        <v>155</v>
      </c>
      <c r="D20" s="265">
        <v>745</v>
      </c>
      <c r="E20" s="267" t="s">
        <v>911</v>
      </c>
      <c r="F20" s="267" t="s">
        <v>638</v>
      </c>
      <c r="G20" s="267"/>
    </row>
    <row r="21" spans="1:7" x14ac:dyDescent="0.25">
      <c r="A21" s="262" t="s">
        <v>760</v>
      </c>
      <c r="B21" s="263" t="s">
        <v>666</v>
      </c>
      <c r="C21" s="264" t="s">
        <v>155</v>
      </c>
      <c r="D21" s="265">
        <v>84</v>
      </c>
      <c r="E21" s="267" t="s">
        <v>911</v>
      </c>
      <c r="F21" s="267" t="s">
        <v>658</v>
      </c>
      <c r="G21" s="267"/>
    </row>
    <row r="22" spans="1:7" x14ac:dyDescent="0.25">
      <c r="A22" s="262" t="s">
        <v>761</v>
      </c>
      <c r="B22" s="263" t="s">
        <v>667</v>
      </c>
      <c r="C22" s="264" t="s">
        <v>155</v>
      </c>
      <c r="D22" s="265">
        <v>8704419.5600000005</v>
      </c>
      <c r="E22" s="267" t="s">
        <v>911</v>
      </c>
      <c r="F22" s="267" t="s">
        <v>658</v>
      </c>
      <c r="G22" s="267"/>
    </row>
    <row r="23" spans="1:7" x14ac:dyDescent="0.25">
      <c r="A23" s="262" t="s">
        <v>762</v>
      </c>
      <c r="B23" s="263" t="s">
        <v>668</v>
      </c>
      <c r="C23" s="264" t="s">
        <v>155</v>
      </c>
      <c r="D23" s="265">
        <v>4218.3599999999997</v>
      </c>
      <c r="E23" s="267" t="s">
        <v>911</v>
      </c>
      <c r="F23" s="267" t="s">
        <v>658</v>
      </c>
      <c r="G23" s="267"/>
    </row>
    <row r="24" spans="1:7" x14ac:dyDescent="0.25">
      <c r="A24" s="262" t="s">
        <v>763</v>
      </c>
      <c r="B24" s="263" t="s">
        <v>646</v>
      </c>
      <c r="C24" s="264" t="s">
        <v>155</v>
      </c>
      <c r="D24" s="265">
        <v>3475023.27</v>
      </c>
      <c r="E24" s="267" t="s">
        <v>911</v>
      </c>
      <c r="F24" s="267" t="s">
        <v>638</v>
      </c>
      <c r="G24" s="267"/>
    </row>
    <row r="25" spans="1:7" x14ac:dyDescent="0.25">
      <c r="A25" s="262" t="s">
        <v>764</v>
      </c>
      <c r="B25" s="263" t="s">
        <v>647</v>
      </c>
      <c r="C25" s="264" t="s">
        <v>155</v>
      </c>
      <c r="D25" s="265">
        <v>100.68</v>
      </c>
      <c r="E25" s="267" t="s">
        <v>911</v>
      </c>
      <c r="F25" s="267" t="s">
        <v>638</v>
      </c>
      <c r="G25" s="267"/>
    </row>
    <row r="26" spans="1:7" x14ac:dyDescent="0.25">
      <c r="A26" s="262" t="s">
        <v>765</v>
      </c>
      <c r="B26" s="263" t="s">
        <v>669</v>
      </c>
      <c r="C26" s="264" t="s">
        <v>155</v>
      </c>
      <c r="D26" s="265">
        <v>3105777.05</v>
      </c>
      <c r="E26" s="267" t="s">
        <v>911</v>
      </c>
      <c r="F26" s="267" t="s">
        <v>658</v>
      </c>
      <c r="G26" s="267"/>
    </row>
    <row r="27" spans="1:7" x14ac:dyDescent="0.25">
      <c r="A27" s="262" t="s">
        <v>766</v>
      </c>
      <c r="B27" s="263" t="s">
        <v>648</v>
      </c>
      <c r="C27" s="264" t="s">
        <v>155</v>
      </c>
      <c r="D27" s="265">
        <v>113705.76</v>
      </c>
      <c r="E27" s="267" t="s">
        <v>911</v>
      </c>
      <c r="F27" s="267" t="s">
        <v>638</v>
      </c>
      <c r="G27" s="267"/>
    </row>
    <row r="28" spans="1:7" x14ac:dyDescent="0.25">
      <c r="A28" s="262" t="s">
        <v>767</v>
      </c>
      <c r="B28" s="263" t="s">
        <v>670</v>
      </c>
      <c r="C28" s="264" t="s">
        <v>155</v>
      </c>
      <c r="D28" s="265">
        <v>24549.32</v>
      </c>
      <c r="E28" s="267" t="s">
        <v>911</v>
      </c>
      <c r="F28" s="267" t="s">
        <v>658</v>
      </c>
      <c r="G28" s="267"/>
    </row>
    <row r="29" spans="1:7" x14ac:dyDescent="0.25">
      <c r="A29" s="262" t="s">
        <v>768</v>
      </c>
      <c r="B29" s="263" t="s">
        <v>649</v>
      </c>
      <c r="C29" s="264" t="s">
        <v>155</v>
      </c>
      <c r="D29" s="265">
        <v>7877.86</v>
      </c>
      <c r="E29" s="267" t="s">
        <v>911</v>
      </c>
      <c r="F29" s="267" t="s">
        <v>638</v>
      </c>
      <c r="G29" s="267"/>
    </row>
    <row r="30" spans="1:7" x14ac:dyDescent="0.25">
      <c r="A30" s="300" t="s">
        <v>769</v>
      </c>
      <c r="B30" s="301" t="s">
        <v>671</v>
      </c>
      <c r="C30" s="302" t="s">
        <v>155</v>
      </c>
      <c r="D30" s="303">
        <v>0</v>
      </c>
      <c r="E30" s="304"/>
      <c r="F30" s="304" t="s">
        <v>658</v>
      </c>
      <c r="G30" s="305" t="s">
        <v>684</v>
      </c>
    </row>
    <row r="31" spans="1:7" x14ac:dyDescent="0.25">
      <c r="A31" s="262" t="s">
        <v>770</v>
      </c>
      <c r="B31" s="263" t="s">
        <v>672</v>
      </c>
      <c r="C31" s="264" t="s">
        <v>155</v>
      </c>
      <c r="D31" s="265">
        <v>177854.37</v>
      </c>
      <c r="E31" s="267" t="s">
        <v>911</v>
      </c>
      <c r="F31" s="267" t="s">
        <v>658</v>
      </c>
      <c r="G31" s="267"/>
    </row>
    <row r="32" spans="1:7" x14ac:dyDescent="0.25">
      <c r="A32" s="262" t="s">
        <v>771</v>
      </c>
      <c r="B32" s="263" t="s">
        <v>650</v>
      </c>
      <c r="C32" s="264" t="s">
        <v>155</v>
      </c>
      <c r="D32" s="265">
        <v>13.09</v>
      </c>
      <c r="E32" s="267" t="s">
        <v>911</v>
      </c>
      <c r="F32" s="267" t="s">
        <v>638</v>
      </c>
      <c r="G32" s="267"/>
    </row>
    <row r="33" spans="1:7" x14ac:dyDescent="0.25">
      <c r="A33" s="262" t="s">
        <v>772</v>
      </c>
      <c r="B33" s="263" t="s">
        <v>651</v>
      </c>
      <c r="C33" s="264" t="s">
        <v>155</v>
      </c>
      <c r="D33" s="265">
        <v>489.55</v>
      </c>
      <c r="E33" s="267" t="s">
        <v>911</v>
      </c>
      <c r="F33" s="267" t="s">
        <v>638</v>
      </c>
      <c r="G33" s="267"/>
    </row>
    <row r="34" spans="1:7" x14ac:dyDescent="0.25">
      <c r="A34" s="262" t="s">
        <v>773</v>
      </c>
      <c r="B34" s="263" t="s">
        <v>673</v>
      </c>
      <c r="C34" s="264" t="s">
        <v>155</v>
      </c>
      <c r="D34" s="265">
        <v>320.23</v>
      </c>
      <c r="E34" s="267" t="s">
        <v>911</v>
      </c>
      <c r="F34" s="267" t="s">
        <v>658</v>
      </c>
      <c r="G34" s="267"/>
    </row>
    <row r="35" spans="1:7" x14ac:dyDescent="0.25">
      <c r="A35" s="262" t="s">
        <v>774</v>
      </c>
      <c r="B35" s="263" t="s">
        <v>652</v>
      </c>
      <c r="C35" s="264" t="s">
        <v>155</v>
      </c>
      <c r="D35" s="265">
        <v>84146</v>
      </c>
      <c r="E35" s="267" t="s">
        <v>911</v>
      </c>
      <c r="F35" s="267" t="s">
        <v>638</v>
      </c>
      <c r="G35" s="267"/>
    </row>
    <row r="36" spans="1:7" x14ac:dyDescent="0.25">
      <c r="A36" s="262" t="s">
        <v>775</v>
      </c>
      <c r="B36" s="263" t="s">
        <v>674</v>
      </c>
      <c r="C36" s="264" t="s">
        <v>155</v>
      </c>
      <c r="D36" s="265">
        <v>470.99</v>
      </c>
      <c r="E36" s="267" t="s">
        <v>911</v>
      </c>
      <c r="F36" s="267" t="s">
        <v>658</v>
      </c>
      <c r="G36" s="267"/>
    </row>
    <row r="37" spans="1:7" x14ac:dyDescent="0.25">
      <c r="A37" s="262" t="s">
        <v>776</v>
      </c>
      <c r="B37" s="263" t="s">
        <v>675</v>
      </c>
      <c r="C37" s="264" t="s">
        <v>155</v>
      </c>
      <c r="D37" s="265">
        <v>8405404.0999999996</v>
      </c>
      <c r="E37" s="267" t="s">
        <v>911</v>
      </c>
      <c r="F37" s="267" t="s">
        <v>658</v>
      </c>
      <c r="G37" s="267"/>
    </row>
    <row r="38" spans="1:7" x14ac:dyDescent="0.25">
      <c r="A38" s="262" t="s">
        <v>777</v>
      </c>
      <c r="B38" s="263" t="s">
        <v>653</v>
      </c>
      <c r="C38" s="264" t="s">
        <v>155</v>
      </c>
      <c r="D38" s="265">
        <v>2111.9</v>
      </c>
      <c r="E38" s="267" t="s">
        <v>911</v>
      </c>
      <c r="F38" s="267" t="s">
        <v>638</v>
      </c>
      <c r="G38" s="267"/>
    </row>
    <row r="39" spans="1:7" x14ac:dyDescent="0.25">
      <c r="A39" s="262" t="s">
        <v>778</v>
      </c>
      <c r="B39" s="263" t="s">
        <v>685</v>
      </c>
      <c r="C39" s="264" t="s">
        <v>155</v>
      </c>
      <c r="D39" s="265">
        <v>18647.45</v>
      </c>
      <c r="E39" s="267" t="s">
        <v>911</v>
      </c>
      <c r="F39" s="267" t="s">
        <v>688</v>
      </c>
      <c r="G39" s="267"/>
    </row>
    <row r="40" spans="1:7" x14ac:dyDescent="0.25">
      <c r="A40" s="262" t="s">
        <v>779</v>
      </c>
      <c r="B40" s="263" t="s">
        <v>677</v>
      </c>
      <c r="C40" s="264" t="s">
        <v>155</v>
      </c>
      <c r="D40" s="265">
        <v>2799173.63</v>
      </c>
      <c r="E40" s="267" t="s">
        <v>911</v>
      </c>
      <c r="F40" s="267" t="s">
        <v>658</v>
      </c>
      <c r="G40" s="267"/>
    </row>
    <row r="41" spans="1:7" x14ac:dyDescent="0.25">
      <c r="A41" s="262" t="s">
        <v>780</v>
      </c>
      <c r="B41" s="263" t="s">
        <v>678</v>
      </c>
      <c r="C41" s="264" t="s">
        <v>155</v>
      </c>
      <c r="D41" s="265">
        <v>5409359.0800000001</v>
      </c>
      <c r="E41" s="267" t="s">
        <v>911</v>
      </c>
      <c r="F41" s="267" t="s">
        <v>658</v>
      </c>
      <c r="G41" s="267"/>
    </row>
    <row r="42" spans="1:7" x14ac:dyDescent="0.25">
      <c r="A42" s="262" t="s">
        <v>781</v>
      </c>
      <c r="B42" s="263" t="s">
        <v>676</v>
      </c>
      <c r="C42" s="264" t="s">
        <v>155</v>
      </c>
      <c r="D42" s="265">
        <v>20217.84</v>
      </c>
      <c r="E42" s="267" t="s">
        <v>911</v>
      </c>
      <c r="F42" s="267" t="s">
        <v>658</v>
      </c>
      <c r="G42" s="267"/>
    </row>
    <row r="43" spans="1:7" x14ac:dyDescent="0.25">
      <c r="A43" s="262" t="s">
        <v>782</v>
      </c>
      <c r="B43" s="263" t="s">
        <v>654</v>
      </c>
      <c r="C43" s="264" t="s">
        <v>155</v>
      </c>
      <c r="D43" s="265">
        <v>586.63</v>
      </c>
      <c r="E43" s="267" t="s">
        <v>911</v>
      </c>
      <c r="F43" s="267" t="s">
        <v>638</v>
      </c>
      <c r="G43" s="267"/>
    </row>
    <row r="44" spans="1:7" x14ac:dyDescent="0.25">
      <c r="A44" s="262" t="s">
        <v>783</v>
      </c>
      <c r="B44" s="263" t="s">
        <v>679</v>
      </c>
      <c r="C44" s="264" t="s">
        <v>155</v>
      </c>
      <c r="D44" s="265">
        <v>11584.81</v>
      </c>
      <c r="E44" s="267" t="s">
        <v>911</v>
      </c>
      <c r="F44" s="267" t="s">
        <v>658</v>
      </c>
      <c r="G44" s="267"/>
    </row>
    <row r="45" spans="1:7" x14ac:dyDescent="0.25">
      <c r="A45" s="307" t="s">
        <v>784</v>
      </c>
      <c r="B45" s="308" t="s">
        <v>785</v>
      </c>
      <c r="C45" s="309" t="s">
        <v>155</v>
      </c>
      <c r="D45" s="310">
        <v>54550.51</v>
      </c>
      <c r="E45" s="311" t="s">
        <v>905</v>
      </c>
      <c r="F45" s="311" t="s">
        <v>907</v>
      </c>
      <c r="G45" s="311"/>
    </row>
    <row r="46" spans="1:7" x14ac:dyDescent="0.25">
      <c r="A46" s="262" t="s">
        <v>837</v>
      </c>
      <c r="B46" s="263" t="s">
        <v>686</v>
      </c>
      <c r="C46" s="264" t="s">
        <v>208</v>
      </c>
      <c r="D46" s="265">
        <v>47269.52</v>
      </c>
      <c r="E46" s="267" t="s">
        <v>911</v>
      </c>
      <c r="F46" s="267" t="s">
        <v>688</v>
      </c>
      <c r="G46" s="267"/>
    </row>
    <row r="47" spans="1:7" x14ac:dyDescent="0.25">
      <c r="A47" s="262" t="s">
        <v>838</v>
      </c>
      <c r="B47" s="263" t="s">
        <v>687</v>
      </c>
      <c r="C47" s="264" t="s">
        <v>208</v>
      </c>
      <c r="D47" s="265">
        <v>4726.95</v>
      </c>
      <c r="E47" s="267" t="s">
        <v>911</v>
      </c>
      <c r="F47" s="267" t="s">
        <v>688</v>
      </c>
      <c r="G47" s="267"/>
    </row>
    <row r="48" spans="1:7" x14ac:dyDescent="0.25">
      <c r="A48" s="262" t="s">
        <v>849</v>
      </c>
      <c r="B48" s="263" t="s">
        <v>680</v>
      </c>
      <c r="C48" s="264" t="s">
        <v>215</v>
      </c>
      <c r="D48" s="265">
        <v>2799173.63</v>
      </c>
      <c r="E48" s="267" t="s">
        <v>911</v>
      </c>
      <c r="F48" s="267" t="s">
        <v>658</v>
      </c>
      <c r="G48" s="267"/>
    </row>
    <row r="49" spans="1:7" x14ac:dyDescent="0.25">
      <c r="A49" s="262" t="s">
        <v>850</v>
      </c>
      <c r="B49" s="263" t="s">
        <v>655</v>
      </c>
      <c r="C49" s="264" t="s">
        <v>215</v>
      </c>
      <c r="D49" s="265">
        <v>2902387.83</v>
      </c>
      <c r="E49" s="267" t="s">
        <v>911</v>
      </c>
      <c r="F49" s="267" t="s">
        <v>638</v>
      </c>
      <c r="G49" s="267"/>
    </row>
    <row r="50" spans="1:7" x14ac:dyDescent="0.25">
      <c r="A50" s="262" t="s">
        <v>851</v>
      </c>
      <c r="B50" s="263" t="s">
        <v>656</v>
      </c>
      <c r="C50" s="264" t="s">
        <v>215</v>
      </c>
      <c r="D50" s="265">
        <v>586.63</v>
      </c>
      <c r="E50" s="267" t="s">
        <v>911</v>
      </c>
      <c r="F50" s="267" t="s">
        <v>638</v>
      </c>
      <c r="G50" s="267"/>
    </row>
    <row r="51" spans="1:7" x14ac:dyDescent="0.25">
      <c r="A51" s="262" t="s">
        <v>852</v>
      </c>
      <c r="B51" s="263" t="s">
        <v>683</v>
      </c>
      <c r="C51" s="264" t="s">
        <v>215</v>
      </c>
      <c r="D51" s="265">
        <v>11584.81</v>
      </c>
      <c r="E51" s="267" t="s">
        <v>911</v>
      </c>
      <c r="F51" s="267" t="s">
        <v>658</v>
      </c>
      <c r="G51" s="267"/>
    </row>
    <row r="52" spans="1:7" x14ac:dyDescent="0.25">
      <c r="A52" s="262" t="s">
        <v>866</v>
      </c>
      <c r="B52" s="263" t="s">
        <v>681</v>
      </c>
      <c r="C52" s="264" t="s">
        <v>215</v>
      </c>
      <c r="D52" s="265">
        <v>627978.99</v>
      </c>
      <c r="E52" s="267" t="s">
        <v>911</v>
      </c>
      <c r="F52" s="267" t="s">
        <v>658</v>
      </c>
      <c r="G52" s="267"/>
    </row>
    <row r="53" spans="1:7" x14ac:dyDescent="0.25">
      <c r="A53" s="262" t="s">
        <v>874</v>
      </c>
      <c r="B53" s="263" t="s">
        <v>682</v>
      </c>
      <c r="C53" s="264" t="s">
        <v>215</v>
      </c>
      <c r="D53" s="265">
        <v>1878992.26</v>
      </c>
      <c r="E53" s="267" t="s">
        <v>911</v>
      </c>
      <c r="F53" s="267" t="s">
        <v>658</v>
      </c>
      <c r="G53" s="267"/>
    </row>
  </sheetData>
  <autoFilter ref="A3:G53" xr:uid="{38D7CEF8-3E96-4FE3-B4A9-D1EC7978992C}"/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4CAD-67AD-4752-B62C-4354965327A9}">
  <sheetPr filterMode="1"/>
  <dimension ref="A2:F78"/>
  <sheetViews>
    <sheetView workbookViewId="0">
      <selection activeCell="E8" sqref="E8"/>
    </sheetView>
  </sheetViews>
  <sheetFormatPr defaultRowHeight="15" x14ac:dyDescent="0.25"/>
  <cols>
    <col min="1" max="1" width="12.140625" customWidth="1"/>
    <col min="2" max="2" width="32.85546875" customWidth="1"/>
    <col min="3" max="3" width="15.28515625" style="1" bestFit="1" customWidth="1"/>
    <col min="4" max="4" width="5.28515625" customWidth="1"/>
    <col min="5" max="5" width="40.5703125" customWidth="1"/>
    <col min="6" max="6" width="20.140625" style="2" customWidth="1"/>
  </cols>
  <sheetData>
    <row r="2" spans="1:6" x14ac:dyDescent="0.25">
      <c r="C2" s="225">
        <f>SUBTOTAL(9,C3:C79)</f>
        <v>188435523.96000004</v>
      </c>
      <c r="E2" s="14"/>
    </row>
    <row r="3" spans="1:6" x14ac:dyDescent="0.25">
      <c r="A3" s="275" t="s">
        <v>2</v>
      </c>
      <c r="B3" s="275" t="s">
        <v>3</v>
      </c>
      <c r="C3" s="276" t="s">
        <v>4</v>
      </c>
      <c r="D3" s="275" t="s">
        <v>5</v>
      </c>
      <c r="E3" s="182" t="s">
        <v>889</v>
      </c>
      <c r="F3" s="185" t="s">
        <v>517</v>
      </c>
    </row>
    <row r="4" spans="1:6" x14ac:dyDescent="0.25">
      <c r="A4" s="179" t="s">
        <v>891</v>
      </c>
      <c r="B4" s="179" t="s">
        <v>49</v>
      </c>
      <c r="C4" s="181">
        <v>103.93</v>
      </c>
      <c r="D4" s="179" t="s">
        <v>7</v>
      </c>
      <c r="E4" s="179" t="s">
        <v>49</v>
      </c>
      <c r="F4" s="180" t="s">
        <v>729</v>
      </c>
    </row>
    <row r="5" spans="1:6" hidden="1" x14ac:dyDescent="0.25">
      <c r="A5" s="9" t="s">
        <v>891</v>
      </c>
      <c r="B5" s="9" t="s">
        <v>50</v>
      </c>
      <c r="C5" s="10">
        <v>19672890.949999999</v>
      </c>
      <c r="D5" s="9" t="s">
        <v>16</v>
      </c>
      <c r="E5" s="9" t="s">
        <v>66</v>
      </c>
      <c r="F5" s="8" t="s">
        <v>689</v>
      </c>
    </row>
    <row r="6" spans="1:6" hidden="1" x14ac:dyDescent="0.25">
      <c r="A6" s="9" t="s">
        <v>891</v>
      </c>
      <c r="B6" s="9" t="s">
        <v>50</v>
      </c>
      <c r="C6" s="10">
        <v>23414462.379999999</v>
      </c>
      <c r="D6" s="9" t="s">
        <v>16</v>
      </c>
      <c r="E6" s="9" t="s">
        <v>66</v>
      </c>
      <c r="F6" s="8" t="s">
        <v>715</v>
      </c>
    </row>
    <row r="7" spans="1:6" x14ac:dyDescent="0.25">
      <c r="A7" s="16" t="s">
        <v>891</v>
      </c>
      <c r="B7" s="16" t="s">
        <v>20</v>
      </c>
      <c r="C7" s="17">
        <v>43087249.399999999</v>
      </c>
      <c r="D7" s="16" t="s">
        <v>7</v>
      </c>
      <c r="E7" s="16" t="s">
        <v>495</v>
      </c>
      <c r="F7" s="15"/>
    </row>
    <row r="8" spans="1:6" x14ac:dyDescent="0.25">
      <c r="A8" s="6" t="s">
        <v>892</v>
      </c>
      <c r="B8" s="6" t="s">
        <v>30</v>
      </c>
      <c r="C8" s="7">
        <v>9190.4599999999991</v>
      </c>
      <c r="D8" s="6" t="s">
        <v>7</v>
      </c>
      <c r="E8" s="6" t="s">
        <v>42</v>
      </c>
      <c r="F8" s="5"/>
    </row>
    <row r="9" spans="1:6" x14ac:dyDescent="0.25">
      <c r="A9" s="6" t="s">
        <v>892</v>
      </c>
      <c r="B9" s="6" t="s">
        <v>10</v>
      </c>
      <c r="C9" s="7">
        <v>231525.3</v>
      </c>
      <c r="D9" s="6" t="s">
        <v>7</v>
      </c>
      <c r="E9" s="6" t="s">
        <v>42</v>
      </c>
      <c r="F9" s="5"/>
    </row>
    <row r="10" spans="1:6" x14ac:dyDescent="0.25">
      <c r="A10" s="6" t="s">
        <v>892</v>
      </c>
      <c r="B10" s="6" t="s">
        <v>12</v>
      </c>
      <c r="C10" s="7">
        <v>805325.87</v>
      </c>
      <c r="D10" s="6" t="s">
        <v>7</v>
      </c>
      <c r="E10" s="6" t="s">
        <v>42</v>
      </c>
      <c r="F10" s="5"/>
    </row>
    <row r="11" spans="1:6" hidden="1" x14ac:dyDescent="0.25">
      <c r="A11" s="16" t="s">
        <v>892</v>
      </c>
      <c r="B11" s="16" t="s">
        <v>17</v>
      </c>
      <c r="C11" s="17">
        <v>1046041.63</v>
      </c>
      <c r="D11" s="16" t="s">
        <v>16</v>
      </c>
      <c r="E11" s="16" t="s">
        <v>44</v>
      </c>
      <c r="F11" s="15"/>
    </row>
    <row r="12" spans="1:6" hidden="1" x14ac:dyDescent="0.25">
      <c r="A12" s="9" t="s">
        <v>893</v>
      </c>
      <c r="B12" s="9" t="s">
        <v>22</v>
      </c>
      <c r="C12" s="10">
        <v>305454.84000000003</v>
      </c>
      <c r="D12" s="9" t="s">
        <v>16</v>
      </c>
      <c r="E12" s="9" t="s">
        <v>66</v>
      </c>
      <c r="F12" s="8" t="s">
        <v>909</v>
      </c>
    </row>
    <row r="13" spans="1:6" hidden="1" x14ac:dyDescent="0.25">
      <c r="A13" s="9" t="s">
        <v>893</v>
      </c>
      <c r="B13" s="9" t="s">
        <v>22</v>
      </c>
      <c r="C13" s="10">
        <v>114754.3</v>
      </c>
      <c r="D13" s="9" t="s">
        <v>16</v>
      </c>
      <c r="E13" s="9" t="s">
        <v>66</v>
      </c>
      <c r="F13" s="8" t="s">
        <v>909</v>
      </c>
    </row>
    <row r="14" spans="1:6" hidden="1" x14ac:dyDescent="0.25">
      <c r="A14" s="9" t="s">
        <v>893</v>
      </c>
      <c r="B14" s="9" t="s">
        <v>22</v>
      </c>
      <c r="C14" s="10">
        <v>31070315.899999999</v>
      </c>
      <c r="D14" s="9" t="s">
        <v>16</v>
      </c>
      <c r="E14" s="9" t="s">
        <v>66</v>
      </c>
      <c r="F14" s="8" t="s">
        <v>909</v>
      </c>
    </row>
    <row r="15" spans="1:6" hidden="1" x14ac:dyDescent="0.25">
      <c r="A15" s="9" t="s">
        <v>893</v>
      </c>
      <c r="B15" s="9" t="s">
        <v>22</v>
      </c>
      <c r="C15" s="10">
        <v>170.02</v>
      </c>
      <c r="D15" s="9" t="s">
        <v>16</v>
      </c>
      <c r="E15" s="9" t="s">
        <v>66</v>
      </c>
      <c r="F15" s="8" t="s">
        <v>909</v>
      </c>
    </row>
    <row r="16" spans="1:6" hidden="1" x14ac:dyDescent="0.25">
      <c r="A16" s="9" t="s">
        <v>893</v>
      </c>
      <c r="B16" s="9" t="s">
        <v>22</v>
      </c>
      <c r="C16" s="10">
        <v>4649.97</v>
      </c>
      <c r="D16" s="9" t="s">
        <v>16</v>
      </c>
      <c r="E16" s="9" t="s">
        <v>66</v>
      </c>
      <c r="F16" s="8" t="s">
        <v>909</v>
      </c>
    </row>
    <row r="17" spans="1:6" hidden="1" x14ac:dyDescent="0.25">
      <c r="A17" s="9" t="s">
        <v>893</v>
      </c>
      <c r="B17" s="9" t="s">
        <v>22</v>
      </c>
      <c r="C17" s="10">
        <v>175176.22</v>
      </c>
      <c r="D17" s="9" t="s">
        <v>16</v>
      </c>
      <c r="E17" s="9" t="s">
        <v>66</v>
      </c>
      <c r="F17" s="8" t="s">
        <v>909</v>
      </c>
    </row>
    <row r="18" spans="1:6" hidden="1" x14ac:dyDescent="0.25">
      <c r="A18" s="9" t="s">
        <v>893</v>
      </c>
      <c r="B18" s="9" t="s">
        <v>50</v>
      </c>
      <c r="C18" s="10">
        <v>108237.45</v>
      </c>
      <c r="D18" s="9" t="s">
        <v>16</v>
      </c>
      <c r="E18" s="9" t="s">
        <v>66</v>
      </c>
      <c r="F18" s="8" t="s">
        <v>909</v>
      </c>
    </row>
    <row r="19" spans="1:6" x14ac:dyDescent="0.25">
      <c r="A19" s="16" t="s">
        <v>893</v>
      </c>
      <c r="B19" s="16" t="s">
        <v>20</v>
      </c>
      <c r="C19" s="17">
        <v>31778758.699999999</v>
      </c>
      <c r="D19" s="16" t="s">
        <v>7</v>
      </c>
      <c r="E19" s="16" t="s">
        <v>495</v>
      </c>
      <c r="F19" s="15"/>
    </row>
    <row r="20" spans="1:6" x14ac:dyDescent="0.25">
      <c r="A20" s="6" t="s">
        <v>894</v>
      </c>
      <c r="B20" s="6" t="s">
        <v>11</v>
      </c>
      <c r="C20" s="7">
        <v>151.69999999999999</v>
      </c>
      <c r="D20" s="6" t="s">
        <v>7</v>
      </c>
      <c r="E20" s="6" t="s">
        <v>42</v>
      </c>
      <c r="F20" s="5"/>
    </row>
    <row r="21" spans="1:6" x14ac:dyDescent="0.25">
      <c r="A21" s="6" t="s">
        <v>894</v>
      </c>
      <c r="B21" s="6" t="s">
        <v>13</v>
      </c>
      <c r="C21" s="7">
        <v>1175891.02</v>
      </c>
      <c r="D21" s="6" t="s">
        <v>7</v>
      </c>
      <c r="E21" s="6" t="s">
        <v>42</v>
      </c>
      <c r="F21" s="5"/>
    </row>
    <row r="22" spans="1:6" x14ac:dyDescent="0.25">
      <c r="A22" s="6" t="s">
        <v>894</v>
      </c>
      <c r="B22" s="6" t="s">
        <v>13</v>
      </c>
      <c r="C22" s="7">
        <v>2733600.58</v>
      </c>
      <c r="D22" s="6" t="s">
        <v>7</v>
      </c>
      <c r="E22" s="6" t="s">
        <v>42</v>
      </c>
      <c r="F22" s="5"/>
    </row>
    <row r="23" spans="1:6" x14ac:dyDescent="0.25">
      <c r="A23" s="6" t="s">
        <v>894</v>
      </c>
      <c r="B23" s="6" t="s">
        <v>13</v>
      </c>
      <c r="C23" s="7">
        <v>30975383.09</v>
      </c>
      <c r="D23" s="6" t="s">
        <v>7</v>
      </c>
      <c r="E23" s="6" t="s">
        <v>42</v>
      </c>
      <c r="F23" s="5"/>
    </row>
    <row r="24" spans="1:6" x14ac:dyDescent="0.25">
      <c r="A24" s="6" t="s">
        <v>894</v>
      </c>
      <c r="B24" s="6" t="s">
        <v>13</v>
      </c>
      <c r="C24" s="7">
        <v>13833.99</v>
      </c>
      <c r="D24" s="6" t="s">
        <v>7</v>
      </c>
      <c r="E24" s="6" t="s">
        <v>42</v>
      </c>
      <c r="F24" s="5"/>
    </row>
    <row r="25" spans="1:6" x14ac:dyDescent="0.25">
      <c r="A25" s="11" t="s">
        <v>894</v>
      </c>
      <c r="B25" s="11" t="s">
        <v>14</v>
      </c>
      <c r="C25" s="13">
        <v>26160.65</v>
      </c>
      <c r="D25" s="11" t="s">
        <v>7</v>
      </c>
      <c r="E25" s="11" t="s">
        <v>43</v>
      </c>
      <c r="F25" s="12"/>
    </row>
    <row r="26" spans="1:6" x14ac:dyDescent="0.25">
      <c r="A26" s="6" t="s">
        <v>894</v>
      </c>
      <c r="B26" s="6" t="s">
        <v>14</v>
      </c>
      <c r="C26" s="7">
        <v>15177.1</v>
      </c>
      <c r="D26" s="6" t="s">
        <v>7</v>
      </c>
      <c r="E26" s="6" t="s">
        <v>42</v>
      </c>
      <c r="F26" s="5"/>
    </row>
    <row r="27" spans="1:6" hidden="1" x14ac:dyDescent="0.25">
      <c r="A27" s="11" t="s">
        <v>894</v>
      </c>
      <c r="B27" s="11" t="s">
        <v>15</v>
      </c>
      <c r="C27" s="13">
        <v>26160.65</v>
      </c>
      <c r="D27" s="11" t="s">
        <v>16</v>
      </c>
      <c r="E27" s="11" t="s">
        <v>43</v>
      </c>
      <c r="F27" s="12"/>
    </row>
    <row r="28" spans="1:6" hidden="1" x14ac:dyDescent="0.25">
      <c r="A28" s="16" t="s">
        <v>894</v>
      </c>
      <c r="B28" s="16" t="s">
        <v>17</v>
      </c>
      <c r="C28" s="17">
        <v>34914037.479999997</v>
      </c>
      <c r="D28" s="16" t="s">
        <v>16</v>
      </c>
      <c r="E28" s="16" t="s">
        <v>44</v>
      </c>
      <c r="F28" s="15"/>
    </row>
    <row r="29" spans="1:6" hidden="1" x14ac:dyDescent="0.25">
      <c r="A29" s="19" t="s">
        <v>895</v>
      </c>
      <c r="B29" s="19" t="s">
        <v>24</v>
      </c>
      <c r="C29" s="20">
        <v>7.08</v>
      </c>
      <c r="D29" s="19" t="s">
        <v>16</v>
      </c>
      <c r="E29" s="19" t="s">
        <v>45</v>
      </c>
      <c r="F29" s="18"/>
    </row>
    <row r="30" spans="1:6" x14ac:dyDescent="0.25">
      <c r="A30" s="16" t="s">
        <v>895</v>
      </c>
      <c r="B30" s="16" t="s">
        <v>20</v>
      </c>
      <c r="C30" s="17">
        <v>7.08</v>
      </c>
      <c r="D30" s="16" t="s">
        <v>7</v>
      </c>
      <c r="E30" s="16" t="s">
        <v>495</v>
      </c>
      <c r="F30" s="15"/>
    </row>
    <row r="31" spans="1:6" x14ac:dyDescent="0.25">
      <c r="A31" s="6" t="s">
        <v>896</v>
      </c>
      <c r="B31" s="6" t="s">
        <v>30</v>
      </c>
      <c r="C31" s="7">
        <v>635</v>
      </c>
      <c r="D31" s="6" t="s">
        <v>7</v>
      </c>
      <c r="E31" s="6" t="s">
        <v>42</v>
      </c>
      <c r="F31" s="5"/>
    </row>
    <row r="32" spans="1:6" x14ac:dyDescent="0.25">
      <c r="A32" s="6" t="s">
        <v>896</v>
      </c>
      <c r="B32" s="6" t="s">
        <v>10</v>
      </c>
      <c r="C32" s="7">
        <v>259216.16</v>
      </c>
      <c r="D32" s="6" t="s">
        <v>7</v>
      </c>
      <c r="E32" s="6" t="s">
        <v>42</v>
      </c>
      <c r="F32" s="5"/>
    </row>
    <row r="33" spans="1:6" x14ac:dyDescent="0.25">
      <c r="A33" s="6" t="s">
        <v>896</v>
      </c>
      <c r="B33" s="6" t="s">
        <v>12</v>
      </c>
      <c r="C33" s="7">
        <v>811850.28</v>
      </c>
      <c r="D33" s="6" t="s">
        <v>7</v>
      </c>
      <c r="E33" s="6" t="s">
        <v>42</v>
      </c>
      <c r="F33" s="5"/>
    </row>
    <row r="34" spans="1:6" hidden="1" x14ac:dyDescent="0.25">
      <c r="A34" s="16" t="s">
        <v>896</v>
      </c>
      <c r="B34" s="16" t="s">
        <v>17</v>
      </c>
      <c r="C34" s="17">
        <v>1071701.44</v>
      </c>
      <c r="D34" s="16" t="s">
        <v>16</v>
      </c>
      <c r="E34" s="16" t="s">
        <v>44</v>
      </c>
      <c r="F34" s="15"/>
    </row>
    <row r="35" spans="1:6" hidden="1" x14ac:dyDescent="0.25">
      <c r="A35" s="9" t="s">
        <v>897</v>
      </c>
      <c r="B35" s="9" t="s">
        <v>50</v>
      </c>
      <c r="C35" s="10">
        <v>45000.24</v>
      </c>
      <c r="D35" s="9" t="s">
        <v>16</v>
      </c>
      <c r="E35" s="9" t="s">
        <v>66</v>
      </c>
      <c r="F35" s="8" t="s">
        <v>730</v>
      </c>
    </row>
    <row r="36" spans="1:6" x14ac:dyDescent="0.25">
      <c r="A36" s="16" t="s">
        <v>897</v>
      </c>
      <c r="B36" s="16" t="s">
        <v>20</v>
      </c>
      <c r="C36" s="17">
        <v>45000.24</v>
      </c>
      <c r="D36" s="16" t="s">
        <v>7</v>
      </c>
      <c r="E36" s="16" t="s">
        <v>495</v>
      </c>
      <c r="F36" s="15"/>
    </row>
    <row r="37" spans="1:6" hidden="1" x14ac:dyDescent="0.25">
      <c r="A37" t="s">
        <v>898</v>
      </c>
      <c r="B37" t="s">
        <v>37</v>
      </c>
      <c r="C37" s="1">
        <v>10385.469999999999</v>
      </c>
      <c r="D37" t="s">
        <v>16</v>
      </c>
      <c r="E37" t="s">
        <v>37</v>
      </c>
    </row>
    <row r="38" spans="1:6" hidden="1" x14ac:dyDescent="0.25">
      <c r="A38" s="9" t="s">
        <v>898</v>
      </c>
      <c r="B38" s="9" t="s">
        <v>50</v>
      </c>
      <c r="C38" s="10">
        <v>68491.710000000006</v>
      </c>
      <c r="D38" s="9" t="s">
        <v>16</v>
      </c>
      <c r="E38" s="9" t="s">
        <v>66</v>
      </c>
      <c r="F38" s="8" t="s">
        <v>735</v>
      </c>
    </row>
    <row r="39" spans="1:6" x14ac:dyDescent="0.25">
      <c r="A39" s="16" t="s">
        <v>898</v>
      </c>
      <c r="B39" s="16" t="s">
        <v>20</v>
      </c>
      <c r="C39" s="17">
        <v>78877.179999999993</v>
      </c>
      <c r="D39" s="16" t="s">
        <v>7</v>
      </c>
      <c r="E39" s="16" t="s">
        <v>495</v>
      </c>
      <c r="F39" s="15"/>
    </row>
    <row r="40" spans="1:6" hidden="1" x14ac:dyDescent="0.25">
      <c r="A40" s="19" t="s">
        <v>899</v>
      </c>
      <c r="B40" s="19" t="s">
        <v>24</v>
      </c>
      <c r="C40" s="20">
        <v>10.38</v>
      </c>
      <c r="D40" s="19" t="s">
        <v>16</v>
      </c>
      <c r="E40" s="19" t="s">
        <v>45</v>
      </c>
      <c r="F40" s="18"/>
    </row>
    <row r="41" spans="1:6" x14ac:dyDescent="0.25">
      <c r="A41" s="16" t="s">
        <v>899</v>
      </c>
      <c r="B41" s="16" t="s">
        <v>20</v>
      </c>
      <c r="C41" s="17">
        <v>10.38</v>
      </c>
      <c r="D41" s="16" t="s">
        <v>7</v>
      </c>
      <c r="E41" s="16" t="s">
        <v>495</v>
      </c>
      <c r="F41" s="15"/>
    </row>
    <row r="42" spans="1:6" x14ac:dyDescent="0.25">
      <c r="A42" s="6" t="s">
        <v>900</v>
      </c>
      <c r="B42" s="6" t="s">
        <v>30</v>
      </c>
      <c r="C42" s="7">
        <v>5395.75</v>
      </c>
      <c r="D42" s="6" t="s">
        <v>7</v>
      </c>
      <c r="E42" s="6" t="s">
        <v>42</v>
      </c>
      <c r="F42" s="5"/>
    </row>
    <row r="43" spans="1:6" x14ac:dyDescent="0.25">
      <c r="A43" s="6" t="s">
        <v>900</v>
      </c>
      <c r="B43" s="6" t="s">
        <v>12</v>
      </c>
      <c r="C43" s="7">
        <v>12357300.869999999</v>
      </c>
      <c r="D43" s="6" t="s">
        <v>7</v>
      </c>
      <c r="E43" s="6" t="s">
        <v>42</v>
      </c>
      <c r="F43" s="5"/>
    </row>
    <row r="44" spans="1:6" x14ac:dyDescent="0.25">
      <c r="A44" s="6" t="s">
        <v>900</v>
      </c>
      <c r="B44" s="6" t="s">
        <v>10</v>
      </c>
      <c r="C44" s="7">
        <v>320697.23</v>
      </c>
      <c r="D44" s="6" t="s">
        <v>7</v>
      </c>
      <c r="E44" s="6" t="s">
        <v>42</v>
      </c>
      <c r="F44" s="5"/>
    </row>
    <row r="45" spans="1:6" x14ac:dyDescent="0.25">
      <c r="A45" s="6" t="s">
        <v>900</v>
      </c>
      <c r="B45" s="6" t="s">
        <v>11</v>
      </c>
      <c r="C45" s="7">
        <v>169.86</v>
      </c>
      <c r="D45" s="6" t="s">
        <v>7</v>
      </c>
      <c r="E45" s="6" t="s">
        <v>42</v>
      </c>
      <c r="F45" s="5"/>
    </row>
    <row r="46" spans="1:6" x14ac:dyDescent="0.25">
      <c r="A46" s="6" t="s">
        <v>900</v>
      </c>
      <c r="B46" s="6" t="s">
        <v>13</v>
      </c>
      <c r="C46" s="7">
        <v>817640.85</v>
      </c>
      <c r="D46" s="6" t="s">
        <v>7</v>
      </c>
      <c r="E46" s="6" t="s">
        <v>42</v>
      </c>
      <c r="F46" s="5"/>
    </row>
    <row r="47" spans="1:6" x14ac:dyDescent="0.25">
      <c r="A47" s="6" t="s">
        <v>900</v>
      </c>
      <c r="B47" s="6" t="s">
        <v>13</v>
      </c>
      <c r="C47" s="7">
        <v>1900774.43</v>
      </c>
      <c r="D47" s="6" t="s">
        <v>7</v>
      </c>
      <c r="E47" s="6" t="s">
        <v>42</v>
      </c>
      <c r="F47" s="5"/>
    </row>
    <row r="48" spans="1:6" x14ac:dyDescent="0.25">
      <c r="A48" s="6" t="s">
        <v>900</v>
      </c>
      <c r="B48" s="6" t="s">
        <v>13</v>
      </c>
      <c r="C48" s="7">
        <v>21291701.300000001</v>
      </c>
      <c r="D48" s="6" t="s">
        <v>7</v>
      </c>
      <c r="E48" s="6" t="s">
        <v>42</v>
      </c>
      <c r="F48" s="5"/>
    </row>
    <row r="49" spans="1:6" x14ac:dyDescent="0.25">
      <c r="A49" s="6" t="s">
        <v>900</v>
      </c>
      <c r="B49" s="6" t="s">
        <v>13</v>
      </c>
      <c r="C49" s="7">
        <v>9619.27</v>
      </c>
      <c r="D49" s="6" t="s">
        <v>7</v>
      </c>
      <c r="E49" s="6" t="s">
        <v>42</v>
      </c>
      <c r="F49" s="5"/>
    </row>
    <row r="50" spans="1:6" x14ac:dyDescent="0.25">
      <c r="A50" s="11" t="s">
        <v>900</v>
      </c>
      <c r="B50" s="11" t="s">
        <v>14</v>
      </c>
      <c r="C50" s="13">
        <v>14326.08</v>
      </c>
      <c r="D50" s="11" t="s">
        <v>7</v>
      </c>
      <c r="E50" s="11" t="s">
        <v>43</v>
      </c>
      <c r="F50" s="12"/>
    </row>
    <row r="51" spans="1:6" x14ac:dyDescent="0.25">
      <c r="A51" s="6" t="s">
        <v>900</v>
      </c>
      <c r="B51" s="6" t="s">
        <v>14</v>
      </c>
      <c r="C51" s="7">
        <v>8311.2800000000007</v>
      </c>
      <c r="D51" s="6" t="s">
        <v>7</v>
      </c>
      <c r="E51" s="6" t="s">
        <v>42</v>
      </c>
      <c r="F51" s="5"/>
    </row>
    <row r="52" spans="1:6" hidden="1" x14ac:dyDescent="0.25">
      <c r="A52" s="11" t="s">
        <v>900</v>
      </c>
      <c r="B52" s="11" t="s">
        <v>15</v>
      </c>
      <c r="C52" s="13">
        <v>14326.08</v>
      </c>
      <c r="D52" s="11" t="s">
        <v>16</v>
      </c>
      <c r="E52" s="11" t="s">
        <v>43</v>
      </c>
      <c r="F52" s="12"/>
    </row>
    <row r="53" spans="1:6" hidden="1" x14ac:dyDescent="0.25">
      <c r="A53" s="16" t="s">
        <v>900</v>
      </c>
      <c r="B53" s="16" t="s">
        <v>17</v>
      </c>
      <c r="C53" s="17">
        <v>36711610.840000004</v>
      </c>
      <c r="D53" s="16" t="s">
        <v>16</v>
      </c>
      <c r="E53" s="16" t="s">
        <v>44</v>
      </c>
      <c r="F53" s="15"/>
    </row>
    <row r="54" spans="1:6" x14ac:dyDescent="0.25">
      <c r="A54" s="6" t="s">
        <v>901</v>
      </c>
      <c r="B54" s="6" t="s">
        <v>30</v>
      </c>
      <c r="C54" s="7">
        <v>7930.19</v>
      </c>
      <c r="D54" s="6" t="s">
        <v>7</v>
      </c>
      <c r="E54" s="6" t="s">
        <v>42</v>
      </c>
      <c r="F54" s="5"/>
    </row>
    <row r="55" spans="1:6" x14ac:dyDescent="0.25">
      <c r="A55" s="6" t="s">
        <v>901</v>
      </c>
      <c r="B55" s="6" t="s">
        <v>10</v>
      </c>
      <c r="C55" s="7">
        <v>339042.61</v>
      </c>
      <c r="D55" s="6" t="s">
        <v>7</v>
      </c>
      <c r="E55" s="6" t="s">
        <v>42</v>
      </c>
      <c r="F55" s="5"/>
    </row>
    <row r="56" spans="1:6" x14ac:dyDescent="0.25">
      <c r="A56" s="6" t="s">
        <v>901</v>
      </c>
      <c r="B56" s="6" t="s">
        <v>12</v>
      </c>
      <c r="C56" s="7">
        <v>2895536.59</v>
      </c>
      <c r="D56" s="6" t="s">
        <v>7</v>
      </c>
      <c r="E56" s="6" t="s">
        <v>42</v>
      </c>
      <c r="F56" s="5"/>
    </row>
    <row r="57" spans="1:6" hidden="1" x14ac:dyDescent="0.25">
      <c r="A57" s="16" t="s">
        <v>901</v>
      </c>
      <c r="B57" s="16" t="s">
        <v>17</v>
      </c>
      <c r="C57" s="17">
        <v>3242509.39</v>
      </c>
      <c r="D57" s="16" t="s">
        <v>16</v>
      </c>
      <c r="E57" s="16" t="s">
        <v>44</v>
      </c>
      <c r="F57" s="15"/>
    </row>
    <row r="58" spans="1:6" hidden="1" x14ac:dyDescent="0.25">
      <c r="A58" s="9" t="s">
        <v>902</v>
      </c>
      <c r="B58" s="9" t="s">
        <v>50</v>
      </c>
      <c r="C58" s="10">
        <v>333427.64</v>
      </c>
      <c r="D58" s="9" t="s">
        <v>16</v>
      </c>
      <c r="E58" s="9" t="s">
        <v>66</v>
      </c>
      <c r="F58" s="8" t="s">
        <v>910</v>
      </c>
    </row>
    <row r="59" spans="1:6" x14ac:dyDescent="0.25">
      <c r="A59" s="16" t="s">
        <v>902</v>
      </c>
      <c r="B59" s="16" t="s">
        <v>20</v>
      </c>
      <c r="C59" s="17">
        <v>333427.64</v>
      </c>
      <c r="D59" s="16" t="s">
        <v>7</v>
      </c>
      <c r="E59" s="16" t="s">
        <v>495</v>
      </c>
      <c r="F59" s="15"/>
    </row>
    <row r="60" spans="1:6" x14ac:dyDescent="0.25">
      <c r="A60" s="6" t="s">
        <v>903</v>
      </c>
      <c r="B60" s="6" t="s">
        <v>11</v>
      </c>
      <c r="C60" s="7">
        <v>87.86</v>
      </c>
      <c r="D60" s="6" t="s">
        <v>7</v>
      </c>
      <c r="E60" s="6" t="s">
        <v>42</v>
      </c>
      <c r="F60" s="5"/>
    </row>
    <row r="61" spans="1:6" x14ac:dyDescent="0.25">
      <c r="A61" s="6" t="s">
        <v>903</v>
      </c>
      <c r="B61" s="6" t="s">
        <v>13</v>
      </c>
      <c r="C61" s="7">
        <v>895611.6</v>
      </c>
      <c r="D61" s="6" t="s">
        <v>7</v>
      </c>
      <c r="E61" s="6" t="s">
        <v>42</v>
      </c>
      <c r="F61" s="5"/>
    </row>
    <row r="62" spans="1:6" x14ac:dyDescent="0.25">
      <c r="A62" s="6" t="s">
        <v>903</v>
      </c>
      <c r="B62" s="6" t="s">
        <v>13</v>
      </c>
      <c r="C62" s="7">
        <v>2082033.5</v>
      </c>
      <c r="D62" s="6" t="s">
        <v>7</v>
      </c>
      <c r="E62" s="6" t="s">
        <v>42</v>
      </c>
      <c r="F62" s="5"/>
    </row>
    <row r="63" spans="1:6" x14ac:dyDescent="0.25">
      <c r="A63" s="6" t="s">
        <v>903</v>
      </c>
      <c r="B63" s="6" t="s">
        <v>13</v>
      </c>
      <c r="C63" s="7">
        <v>23229130.5</v>
      </c>
      <c r="D63" s="6" t="s">
        <v>7</v>
      </c>
      <c r="E63" s="6" t="s">
        <v>42</v>
      </c>
      <c r="F63" s="5"/>
    </row>
    <row r="64" spans="1:6" x14ac:dyDescent="0.25">
      <c r="A64" s="6" t="s">
        <v>903</v>
      </c>
      <c r="B64" s="6" t="s">
        <v>13</v>
      </c>
      <c r="C64" s="7">
        <v>10536.57</v>
      </c>
      <c r="D64" s="6" t="s">
        <v>7</v>
      </c>
      <c r="E64" s="6" t="s">
        <v>42</v>
      </c>
      <c r="F64" s="5"/>
    </row>
    <row r="65" spans="1:6" x14ac:dyDescent="0.25">
      <c r="A65" s="11" t="s">
        <v>903</v>
      </c>
      <c r="B65" s="11" t="s">
        <v>14</v>
      </c>
      <c r="C65" s="13">
        <v>7610.16</v>
      </c>
      <c r="D65" s="11" t="s">
        <v>7</v>
      </c>
      <c r="E65" s="11" t="s">
        <v>43</v>
      </c>
      <c r="F65" s="12"/>
    </row>
    <row r="66" spans="1:6" x14ac:dyDescent="0.25">
      <c r="A66" s="6" t="s">
        <v>903</v>
      </c>
      <c r="B66" s="6" t="s">
        <v>14</v>
      </c>
      <c r="C66" s="7">
        <v>4415.05</v>
      </c>
      <c r="D66" s="6" t="s">
        <v>7</v>
      </c>
      <c r="E66" s="6" t="s">
        <v>42</v>
      </c>
      <c r="F66" s="5"/>
    </row>
    <row r="67" spans="1:6" hidden="1" x14ac:dyDescent="0.25">
      <c r="A67" s="11" t="s">
        <v>903</v>
      </c>
      <c r="B67" s="11" t="s">
        <v>15</v>
      </c>
      <c r="C67" s="13">
        <v>7610.16</v>
      </c>
      <c r="D67" s="11" t="s">
        <v>16</v>
      </c>
      <c r="E67" s="11" t="s">
        <v>43</v>
      </c>
      <c r="F67" s="12"/>
    </row>
    <row r="68" spans="1:6" hidden="1" x14ac:dyDescent="0.25">
      <c r="A68" s="9" t="s">
        <v>903</v>
      </c>
      <c r="B68" s="9" t="s">
        <v>22</v>
      </c>
      <c r="C68" s="10">
        <v>266376.59999999998</v>
      </c>
      <c r="D68" s="9" t="s">
        <v>16</v>
      </c>
      <c r="E68" s="9" t="s">
        <v>66</v>
      </c>
      <c r="F68" s="8" t="s">
        <v>910</v>
      </c>
    </row>
    <row r="69" spans="1:6" hidden="1" x14ac:dyDescent="0.25">
      <c r="A69" s="9" t="s">
        <v>903</v>
      </c>
      <c r="B69" s="9" t="s">
        <v>22</v>
      </c>
      <c r="C69" s="10">
        <v>563802.01</v>
      </c>
      <c r="D69" s="9" t="s">
        <v>16</v>
      </c>
      <c r="E69" s="9" t="s">
        <v>66</v>
      </c>
      <c r="F69" s="8" t="s">
        <v>910</v>
      </c>
    </row>
    <row r="70" spans="1:6" hidden="1" x14ac:dyDescent="0.25">
      <c r="A70" s="9" t="s">
        <v>903</v>
      </c>
      <c r="B70" s="9" t="s">
        <v>22</v>
      </c>
      <c r="C70" s="10">
        <v>34630287.460000001</v>
      </c>
      <c r="D70" s="9" t="s">
        <v>16</v>
      </c>
      <c r="E70" s="9" t="s">
        <v>66</v>
      </c>
      <c r="F70" s="8" t="s">
        <v>910</v>
      </c>
    </row>
    <row r="71" spans="1:6" hidden="1" x14ac:dyDescent="0.25">
      <c r="A71" s="9" t="s">
        <v>903</v>
      </c>
      <c r="B71" s="9" t="s">
        <v>22</v>
      </c>
      <c r="C71" s="10">
        <v>694.48</v>
      </c>
      <c r="D71" s="9" t="s">
        <v>16</v>
      </c>
      <c r="E71" s="9" t="s">
        <v>66</v>
      </c>
      <c r="F71" s="8" t="s">
        <v>910</v>
      </c>
    </row>
    <row r="72" spans="1:6" hidden="1" x14ac:dyDescent="0.25">
      <c r="A72" s="9" t="s">
        <v>903</v>
      </c>
      <c r="B72" s="9" t="s">
        <v>22</v>
      </c>
      <c r="C72" s="10">
        <v>15374.74</v>
      </c>
      <c r="D72" s="9" t="s">
        <v>16</v>
      </c>
      <c r="E72" s="9" t="s">
        <v>66</v>
      </c>
      <c r="F72" s="8" t="s">
        <v>910</v>
      </c>
    </row>
    <row r="73" spans="1:6" hidden="1" x14ac:dyDescent="0.25">
      <c r="A73" s="9" t="s">
        <v>903</v>
      </c>
      <c r="B73" s="9" t="s">
        <v>22</v>
      </c>
      <c r="C73" s="10">
        <v>586978.30000000005</v>
      </c>
      <c r="D73" s="9" t="s">
        <v>16</v>
      </c>
      <c r="E73" s="9" t="s">
        <v>66</v>
      </c>
      <c r="F73" s="8" t="s">
        <v>910</v>
      </c>
    </row>
    <row r="74" spans="1:6" hidden="1" x14ac:dyDescent="0.25">
      <c r="A74" s="9" t="s">
        <v>903</v>
      </c>
      <c r="B74" s="9" t="s">
        <v>37</v>
      </c>
      <c r="C74" s="10">
        <v>14226.43</v>
      </c>
      <c r="D74" s="9" t="s">
        <v>16</v>
      </c>
      <c r="E74" s="9" t="s">
        <v>66</v>
      </c>
      <c r="F74" s="8" t="s">
        <v>910</v>
      </c>
    </row>
    <row r="75" spans="1:6" hidden="1" x14ac:dyDescent="0.25">
      <c r="A75" s="9" t="s">
        <v>903</v>
      </c>
      <c r="B75" s="9" t="s">
        <v>50</v>
      </c>
      <c r="C75" s="10">
        <v>333.78</v>
      </c>
      <c r="D75" s="9" t="s">
        <v>16</v>
      </c>
      <c r="E75" s="9" t="s">
        <v>66</v>
      </c>
      <c r="F75" s="8" t="s">
        <v>736</v>
      </c>
    </row>
    <row r="76" spans="1:6" hidden="1" x14ac:dyDescent="0.25">
      <c r="A76" s="19" t="s">
        <v>903</v>
      </c>
      <c r="B76" s="19" t="s">
        <v>24</v>
      </c>
      <c r="C76" s="20">
        <v>14.22</v>
      </c>
      <c r="D76" s="19" t="s">
        <v>16</v>
      </c>
      <c r="E76" s="19" t="s">
        <v>45</v>
      </c>
      <c r="F76" s="18"/>
    </row>
    <row r="77" spans="1:6" hidden="1" x14ac:dyDescent="0.25">
      <c r="A77" s="19" t="s">
        <v>903</v>
      </c>
      <c r="B77" s="19" t="s">
        <v>24</v>
      </c>
      <c r="C77" s="20">
        <v>3.72</v>
      </c>
      <c r="D77" s="19" t="s">
        <v>16</v>
      </c>
      <c r="E77" s="19" t="s">
        <v>45</v>
      </c>
      <c r="F77" s="18"/>
    </row>
    <row r="78" spans="1:6" x14ac:dyDescent="0.25">
      <c r="A78" s="16" t="s">
        <v>903</v>
      </c>
      <c r="B78" s="16" t="s">
        <v>20</v>
      </c>
      <c r="C78" s="17">
        <v>9856276.6600000001</v>
      </c>
      <c r="D78" s="16" t="s">
        <v>7</v>
      </c>
      <c r="E78" s="16" t="s">
        <v>495</v>
      </c>
      <c r="F78" s="15"/>
    </row>
  </sheetData>
  <autoFilter ref="A3:F78" xr:uid="{CC7E4CAD-67AD-4752-B62C-4354965327A9}">
    <filterColumn colId="3">
      <filters>
        <filter val="C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7BAF-9B09-47DB-9A24-C4E06309D757}">
  <dimension ref="A2:G67"/>
  <sheetViews>
    <sheetView zoomScale="115" zoomScaleNormal="115" workbookViewId="0">
      <selection activeCell="E3" sqref="E3:G3"/>
    </sheetView>
  </sheetViews>
  <sheetFormatPr defaultRowHeight="12.75" x14ac:dyDescent="0.2"/>
  <cols>
    <col min="1" max="1" width="15" style="230" customWidth="1"/>
    <col min="2" max="2" width="15.28515625" style="230" customWidth="1"/>
    <col min="3" max="3" width="40" style="230" customWidth="1"/>
    <col min="4" max="4" width="15" style="253" bestFit="1" customWidth="1"/>
    <col min="5" max="5" width="20.28515625" style="240" customWidth="1"/>
    <col min="6" max="6" width="17.42578125" style="240" customWidth="1"/>
    <col min="7" max="7" width="11.140625" style="230" customWidth="1"/>
    <col min="8" max="251" width="9.140625" style="230"/>
    <col min="252" max="253" width="11" style="230" bestFit="1" customWidth="1"/>
    <col min="254" max="254" width="40" style="230" bestFit="1" customWidth="1"/>
    <col min="255" max="255" width="13" style="230" bestFit="1" customWidth="1"/>
    <col min="256" max="256" width="14" style="230" bestFit="1" customWidth="1"/>
    <col min="257" max="258" width="13" style="230" bestFit="1" customWidth="1"/>
    <col min="259" max="259" width="14" style="230" bestFit="1" customWidth="1"/>
    <col min="260" max="260" width="30" style="230" bestFit="1" customWidth="1"/>
    <col min="261" max="507" width="9.140625" style="230"/>
    <col min="508" max="509" width="11" style="230" bestFit="1" customWidth="1"/>
    <col min="510" max="510" width="40" style="230" bestFit="1" customWidth="1"/>
    <col min="511" max="511" width="13" style="230" bestFit="1" customWidth="1"/>
    <col min="512" max="512" width="14" style="230" bestFit="1" customWidth="1"/>
    <col min="513" max="514" width="13" style="230" bestFit="1" customWidth="1"/>
    <col min="515" max="515" width="14" style="230" bestFit="1" customWidth="1"/>
    <col min="516" max="516" width="30" style="230" bestFit="1" customWidth="1"/>
    <col min="517" max="763" width="9.140625" style="230"/>
    <col min="764" max="765" width="11" style="230" bestFit="1" customWidth="1"/>
    <col min="766" max="766" width="40" style="230" bestFit="1" customWidth="1"/>
    <col min="767" max="767" width="13" style="230" bestFit="1" customWidth="1"/>
    <col min="768" max="768" width="14" style="230" bestFit="1" customWidth="1"/>
    <col min="769" max="770" width="13" style="230" bestFit="1" customWidth="1"/>
    <col min="771" max="771" width="14" style="230" bestFit="1" customWidth="1"/>
    <col min="772" max="772" width="30" style="230" bestFit="1" customWidth="1"/>
    <col min="773" max="1019" width="9.140625" style="230"/>
    <col min="1020" max="1021" width="11" style="230" bestFit="1" customWidth="1"/>
    <col min="1022" max="1022" width="40" style="230" bestFit="1" customWidth="1"/>
    <col min="1023" max="1023" width="13" style="230" bestFit="1" customWidth="1"/>
    <col min="1024" max="1024" width="14" style="230" bestFit="1" customWidth="1"/>
    <col min="1025" max="1026" width="13" style="230" bestFit="1" customWidth="1"/>
    <col min="1027" max="1027" width="14" style="230" bestFit="1" customWidth="1"/>
    <col min="1028" max="1028" width="30" style="230" bestFit="1" customWidth="1"/>
    <col min="1029" max="1275" width="9.140625" style="230"/>
    <col min="1276" max="1277" width="11" style="230" bestFit="1" customWidth="1"/>
    <col min="1278" max="1278" width="40" style="230" bestFit="1" customWidth="1"/>
    <col min="1279" max="1279" width="13" style="230" bestFit="1" customWidth="1"/>
    <col min="1280" max="1280" width="14" style="230" bestFit="1" customWidth="1"/>
    <col min="1281" max="1282" width="13" style="230" bestFit="1" customWidth="1"/>
    <col min="1283" max="1283" width="14" style="230" bestFit="1" customWidth="1"/>
    <col min="1284" max="1284" width="30" style="230" bestFit="1" customWidth="1"/>
    <col min="1285" max="1531" width="9.140625" style="230"/>
    <col min="1532" max="1533" width="11" style="230" bestFit="1" customWidth="1"/>
    <col min="1534" max="1534" width="40" style="230" bestFit="1" customWidth="1"/>
    <col min="1535" max="1535" width="13" style="230" bestFit="1" customWidth="1"/>
    <col min="1536" max="1536" width="14" style="230" bestFit="1" customWidth="1"/>
    <col min="1537" max="1538" width="13" style="230" bestFit="1" customWidth="1"/>
    <col min="1539" max="1539" width="14" style="230" bestFit="1" customWidth="1"/>
    <col min="1540" max="1540" width="30" style="230" bestFit="1" customWidth="1"/>
    <col min="1541" max="1787" width="9.140625" style="230"/>
    <col min="1788" max="1789" width="11" style="230" bestFit="1" customWidth="1"/>
    <col min="1790" max="1790" width="40" style="230" bestFit="1" customWidth="1"/>
    <col min="1791" max="1791" width="13" style="230" bestFit="1" customWidth="1"/>
    <col min="1792" max="1792" width="14" style="230" bestFit="1" customWidth="1"/>
    <col min="1793" max="1794" width="13" style="230" bestFit="1" customWidth="1"/>
    <col min="1795" max="1795" width="14" style="230" bestFit="1" customWidth="1"/>
    <col min="1796" max="1796" width="30" style="230" bestFit="1" customWidth="1"/>
    <col min="1797" max="2043" width="9.140625" style="230"/>
    <col min="2044" max="2045" width="11" style="230" bestFit="1" customWidth="1"/>
    <col min="2046" max="2046" width="40" style="230" bestFit="1" customWidth="1"/>
    <col min="2047" max="2047" width="13" style="230" bestFit="1" customWidth="1"/>
    <col min="2048" max="2048" width="14" style="230" bestFit="1" customWidth="1"/>
    <col min="2049" max="2050" width="13" style="230" bestFit="1" customWidth="1"/>
    <col min="2051" max="2051" width="14" style="230" bestFit="1" customWidth="1"/>
    <col min="2052" max="2052" width="30" style="230" bestFit="1" customWidth="1"/>
    <col min="2053" max="2299" width="9.140625" style="230"/>
    <col min="2300" max="2301" width="11" style="230" bestFit="1" customWidth="1"/>
    <col min="2302" max="2302" width="40" style="230" bestFit="1" customWidth="1"/>
    <col min="2303" max="2303" width="13" style="230" bestFit="1" customWidth="1"/>
    <col min="2304" max="2304" width="14" style="230" bestFit="1" customWidth="1"/>
    <col min="2305" max="2306" width="13" style="230" bestFit="1" customWidth="1"/>
    <col min="2307" max="2307" width="14" style="230" bestFit="1" customWidth="1"/>
    <col min="2308" max="2308" width="30" style="230" bestFit="1" customWidth="1"/>
    <col min="2309" max="2555" width="9.140625" style="230"/>
    <col min="2556" max="2557" width="11" style="230" bestFit="1" customWidth="1"/>
    <col min="2558" max="2558" width="40" style="230" bestFit="1" customWidth="1"/>
    <col min="2559" max="2559" width="13" style="230" bestFit="1" customWidth="1"/>
    <col min="2560" max="2560" width="14" style="230" bestFit="1" customWidth="1"/>
    <col min="2561" max="2562" width="13" style="230" bestFit="1" customWidth="1"/>
    <col min="2563" max="2563" width="14" style="230" bestFit="1" customWidth="1"/>
    <col min="2564" max="2564" width="30" style="230" bestFit="1" customWidth="1"/>
    <col min="2565" max="2811" width="9.140625" style="230"/>
    <col min="2812" max="2813" width="11" style="230" bestFit="1" customWidth="1"/>
    <col min="2814" max="2814" width="40" style="230" bestFit="1" customWidth="1"/>
    <col min="2815" max="2815" width="13" style="230" bestFit="1" customWidth="1"/>
    <col min="2816" max="2816" width="14" style="230" bestFit="1" customWidth="1"/>
    <col min="2817" max="2818" width="13" style="230" bestFit="1" customWidth="1"/>
    <col min="2819" max="2819" width="14" style="230" bestFit="1" customWidth="1"/>
    <col min="2820" max="2820" width="30" style="230" bestFit="1" customWidth="1"/>
    <col min="2821" max="3067" width="9.140625" style="230"/>
    <col min="3068" max="3069" width="11" style="230" bestFit="1" customWidth="1"/>
    <col min="3070" max="3070" width="40" style="230" bestFit="1" customWidth="1"/>
    <col min="3071" max="3071" width="13" style="230" bestFit="1" customWidth="1"/>
    <col min="3072" max="3072" width="14" style="230" bestFit="1" customWidth="1"/>
    <col min="3073" max="3074" width="13" style="230" bestFit="1" customWidth="1"/>
    <col min="3075" max="3075" width="14" style="230" bestFit="1" customWidth="1"/>
    <col min="3076" max="3076" width="30" style="230" bestFit="1" customWidth="1"/>
    <col min="3077" max="3323" width="9.140625" style="230"/>
    <col min="3324" max="3325" width="11" style="230" bestFit="1" customWidth="1"/>
    <col min="3326" max="3326" width="40" style="230" bestFit="1" customWidth="1"/>
    <col min="3327" max="3327" width="13" style="230" bestFit="1" customWidth="1"/>
    <col min="3328" max="3328" width="14" style="230" bestFit="1" customWidth="1"/>
    <col min="3329" max="3330" width="13" style="230" bestFit="1" customWidth="1"/>
    <col min="3331" max="3331" width="14" style="230" bestFit="1" customWidth="1"/>
    <col min="3332" max="3332" width="30" style="230" bestFit="1" customWidth="1"/>
    <col min="3333" max="3579" width="9.140625" style="230"/>
    <col min="3580" max="3581" width="11" style="230" bestFit="1" customWidth="1"/>
    <col min="3582" max="3582" width="40" style="230" bestFit="1" customWidth="1"/>
    <col min="3583" max="3583" width="13" style="230" bestFit="1" customWidth="1"/>
    <col min="3584" max="3584" width="14" style="230" bestFit="1" customWidth="1"/>
    <col min="3585" max="3586" width="13" style="230" bestFit="1" customWidth="1"/>
    <col min="3587" max="3587" width="14" style="230" bestFit="1" customWidth="1"/>
    <col min="3588" max="3588" width="30" style="230" bestFit="1" customWidth="1"/>
    <col min="3589" max="3835" width="9.140625" style="230"/>
    <col min="3836" max="3837" width="11" style="230" bestFit="1" customWidth="1"/>
    <col min="3838" max="3838" width="40" style="230" bestFit="1" customWidth="1"/>
    <col min="3839" max="3839" width="13" style="230" bestFit="1" customWidth="1"/>
    <col min="3840" max="3840" width="14" style="230" bestFit="1" customWidth="1"/>
    <col min="3841" max="3842" width="13" style="230" bestFit="1" customWidth="1"/>
    <col min="3843" max="3843" width="14" style="230" bestFit="1" customWidth="1"/>
    <col min="3844" max="3844" width="30" style="230" bestFit="1" customWidth="1"/>
    <col min="3845" max="4091" width="9.140625" style="230"/>
    <col min="4092" max="4093" width="11" style="230" bestFit="1" customWidth="1"/>
    <col min="4094" max="4094" width="40" style="230" bestFit="1" customWidth="1"/>
    <col min="4095" max="4095" width="13" style="230" bestFit="1" customWidth="1"/>
    <col min="4096" max="4096" width="14" style="230" bestFit="1" customWidth="1"/>
    <col min="4097" max="4098" width="13" style="230" bestFit="1" customWidth="1"/>
    <col min="4099" max="4099" width="14" style="230" bestFit="1" customWidth="1"/>
    <col min="4100" max="4100" width="30" style="230" bestFit="1" customWidth="1"/>
    <col min="4101" max="4347" width="9.140625" style="230"/>
    <col min="4348" max="4349" width="11" style="230" bestFit="1" customWidth="1"/>
    <col min="4350" max="4350" width="40" style="230" bestFit="1" customWidth="1"/>
    <col min="4351" max="4351" width="13" style="230" bestFit="1" customWidth="1"/>
    <col min="4352" max="4352" width="14" style="230" bestFit="1" customWidth="1"/>
    <col min="4353" max="4354" width="13" style="230" bestFit="1" customWidth="1"/>
    <col min="4355" max="4355" width="14" style="230" bestFit="1" customWidth="1"/>
    <col min="4356" max="4356" width="30" style="230" bestFit="1" customWidth="1"/>
    <col min="4357" max="4603" width="9.140625" style="230"/>
    <col min="4604" max="4605" width="11" style="230" bestFit="1" customWidth="1"/>
    <col min="4606" max="4606" width="40" style="230" bestFit="1" customWidth="1"/>
    <col min="4607" max="4607" width="13" style="230" bestFit="1" customWidth="1"/>
    <col min="4608" max="4608" width="14" style="230" bestFit="1" customWidth="1"/>
    <col min="4609" max="4610" width="13" style="230" bestFit="1" customWidth="1"/>
    <col min="4611" max="4611" width="14" style="230" bestFit="1" customWidth="1"/>
    <col min="4612" max="4612" width="30" style="230" bestFit="1" customWidth="1"/>
    <col min="4613" max="4859" width="9.140625" style="230"/>
    <col min="4860" max="4861" width="11" style="230" bestFit="1" customWidth="1"/>
    <col min="4862" max="4862" width="40" style="230" bestFit="1" customWidth="1"/>
    <col min="4863" max="4863" width="13" style="230" bestFit="1" customWidth="1"/>
    <col min="4864" max="4864" width="14" style="230" bestFit="1" customWidth="1"/>
    <col min="4865" max="4866" width="13" style="230" bestFit="1" customWidth="1"/>
    <col min="4867" max="4867" width="14" style="230" bestFit="1" customWidth="1"/>
    <col min="4868" max="4868" width="30" style="230" bestFit="1" customWidth="1"/>
    <col min="4869" max="5115" width="9.140625" style="230"/>
    <col min="5116" max="5117" width="11" style="230" bestFit="1" customWidth="1"/>
    <col min="5118" max="5118" width="40" style="230" bestFit="1" customWidth="1"/>
    <col min="5119" max="5119" width="13" style="230" bestFit="1" customWidth="1"/>
    <col min="5120" max="5120" width="14" style="230" bestFit="1" customWidth="1"/>
    <col min="5121" max="5122" width="13" style="230" bestFit="1" customWidth="1"/>
    <col min="5123" max="5123" width="14" style="230" bestFit="1" customWidth="1"/>
    <col min="5124" max="5124" width="30" style="230" bestFit="1" customWidth="1"/>
    <col min="5125" max="5371" width="9.140625" style="230"/>
    <col min="5372" max="5373" width="11" style="230" bestFit="1" customWidth="1"/>
    <col min="5374" max="5374" width="40" style="230" bestFit="1" customWidth="1"/>
    <col min="5375" max="5375" width="13" style="230" bestFit="1" customWidth="1"/>
    <col min="5376" max="5376" width="14" style="230" bestFit="1" customWidth="1"/>
    <col min="5377" max="5378" width="13" style="230" bestFit="1" customWidth="1"/>
    <col min="5379" max="5379" width="14" style="230" bestFit="1" customWidth="1"/>
    <col min="5380" max="5380" width="30" style="230" bestFit="1" customWidth="1"/>
    <col min="5381" max="5627" width="9.140625" style="230"/>
    <col min="5628" max="5629" width="11" style="230" bestFit="1" customWidth="1"/>
    <col min="5630" max="5630" width="40" style="230" bestFit="1" customWidth="1"/>
    <col min="5631" max="5631" width="13" style="230" bestFit="1" customWidth="1"/>
    <col min="5632" max="5632" width="14" style="230" bestFit="1" customWidth="1"/>
    <col min="5633" max="5634" width="13" style="230" bestFit="1" customWidth="1"/>
    <col min="5635" max="5635" width="14" style="230" bestFit="1" customWidth="1"/>
    <col min="5636" max="5636" width="30" style="230" bestFit="1" customWidth="1"/>
    <col min="5637" max="5883" width="9.140625" style="230"/>
    <col min="5884" max="5885" width="11" style="230" bestFit="1" customWidth="1"/>
    <col min="5886" max="5886" width="40" style="230" bestFit="1" customWidth="1"/>
    <col min="5887" max="5887" width="13" style="230" bestFit="1" customWidth="1"/>
    <col min="5888" max="5888" width="14" style="230" bestFit="1" customWidth="1"/>
    <col min="5889" max="5890" width="13" style="230" bestFit="1" customWidth="1"/>
    <col min="5891" max="5891" width="14" style="230" bestFit="1" customWidth="1"/>
    <col min="5892" max="5892" width="30" style="230" bestFit="1" customWidth="1"/>
    <col min="5893" max="6139" width="9.140625" style="230"/>
    <col min="6140" max="6141" width="11" style="230" bestFit="1" customWidth="1"/>
    <col min="6142" max="6142" width="40" style="230" bestFit="1" customWidth="1"/>
    <col min="6143" max="6143" width="13" style="230" bestFit="1" customWidth="1"/>
    <col min="6144" max="6144" width="14" style="230" bestFit="1" customWidth="1"/>
    <col min="6145" max="6146" width="13" style="230" bestFit="1" customWidth="1"/>
    <col min="6147" max="6147" width="14" style="230" bestFit="1" customWidth="1"/>
    <col min="6148" max="6148" width="30" style="230" bestFit="1" customWidth="1"/>
    <col min="6149" max="6395" width="9.140625" style="230"/>
    <col min="6396" max="6397" width="11" style="230" bestFit="1" customWidth="1"/>
    <col min="6398" max="6398" width="40" style="230" bestFit="1" customWidth="1"/>
    <col min="6399" max="6399" width="13" style="230" bestFit="1" customWidth="1"/>
    <col min="6400" max="6400" width="14" style="230" bestFit="1" customWidth="1"/>
    <col min="6401" max="6402" width="13" style="230" bestFit="1" customWidth="1"/>
    <col min="6403" max="6403" width="14" style="230" bestFit="1" customWidth="1"/>
    <col min="6404" max="6404" width="30" style="230" bestFit="1" customWidth="1"/>
    <col min="6405" max="6651" width="9.140625" style="230"/>
    <col min="6652" max="6653" width="11" style="230" bestFit="1" customWidth="1"/>
    <col min="6654" max="6654" width="40" style="230" bestFit="1" customWidth="1"/>
    <col min="6655" max="6655" width="13" style="230" bestFit="1" customWidth="1"/>
    <col min="6656" max="6656" width="14" style="230" bestFit="1" customWidth="1"/>
    <col min="6657" max="6658" width="13" style="230" bestFit="1" customWidth="1"/>
    <col min="6659" max="6659" width="14" style="230" bestFit="1" customWidth="1"/>
    <col min="6660" max="6660" width="30" style="230" bestFit="1" customWidth="1"/>
    <col min="6661" max="6907" width="9.140625" style="230"/>
    <col min="6908" max="6909" width="11" style="230" bestFit="1" customWidth="1"/>
    <col min="6910" max="6910" width="40" style="230" bestFit="1" customWidth="1"/>
    <col min="6911" max="6911" width="13" style="230" bestFit="1" customWidth="1"/>
    <col min="6912" max="6912" width="14" style="230" bestFit="1" customWidth="1"/>
    <col min="6913" max="6914" width="13" style="230" bestFit="1" customWidth="1"/>
    <col min="6915" max="6915" width="14" style="230" bestFit="1" customWidth="1"/>
    <col min="6916" max="6916" width="30" style="230" bestFit="1" customWidth="1"/>
    <col min="6917" max="7163" width="9.140625" style="230"/>
    <col min="7164" max="7165" width="11" style="230" bestFit="1" customWidth="1"/>
    <col min="7166" max="7166" width="40" style="230" bestFit="1" customWidth="1"/>
    <col min="7167" max="7167" width="13" style="230" bestFit="1" customWidth="1"/>
    <col min="7168" max="7168" width="14" style="230" bestFit="1" customWidth="1"/>
    <col min="7169" max="7170" width="13" style="230" bestFit="1" customWidth="1"/>
    <col min="7171" max="7171" width="14" style="230" bestFit="1" customWidth="1"/>
    <col min="7172" max="7172" width="30" style="230" bestFit="1" customWidth="1"/>
    <col min="7173" max="7419" width="9.140625" style="230"/>
    <col min="7420" max="7421" width="11" style="230" bestFit="1" customWidth="1"/>
    <col min="7422" max="7422" width="40" style="230" bestFit="1" customWidth="1"/>
    <col min="7423" max="7423" width="13" style="230" bestFit="1" customWidth="1"/>
    <col min="7424" max="7424" width="14" style="230" bestFit="1" customWidth="1"/>
    <col min="7425" max="7426" width="13" style="230" bestFit="1" customWidth="1"/>
    <col min="7427" max="7427" width="14" style="230" bestFit="1" customWidth="1"/>
    <col min="7428" max="7428" width="30" style="230" bestFit="1" customWidth="1"/>
    <col min="7429" max="7675" width="9.140625" style="230"/>
    <col min="7676" max="7677" width="11" style="230" bestFit="1" customWidth="1"/>
    <col min="7678" max="7678" width="40" style="230" bestFit="1" customWidth="1"/>
    <col min="7679" max="7679" width="13" style="230" bestFit="1" customWidth="1"/>
    <col min="7680" max="7680" width="14" style="230" bestFit="1" customWidth="1"/>
    <col min="7681" max="7682" width="13" style="230" bestFit="1" customWidth="1"/>
    <col min="7683" max="7683" width="14" style="230" bestFit="1" customWidth="1"/>
    <col min="7684" max="7684" width="30" style="230" bestFit="1" customWidth="1"/>
    <col min="7685" max="7931" width="9.140625" style="230"/>
    <col min="7932" max="7933" width="11" style="230" bestFit="1" customWidth="1"/>
    <col min="7934" max="7934" width="40" style="230" bestFit="1" customWidth="1"/>
    <col min="7935" max="7935" width="13" style="230" bestFit="1" customWidth="1"/>
    <col min="7936" max="7936" width="14" style="230" bestFit="1" customWidth="1"/>
    <col min="7937" max="7938" width="13" style="230" bestFit="1" customWidth="1"/>
    <col min="7939" max="7939" width="14" style="230" bestFit="1" customWidth="1"/>
    <col min="7940" max="7940" width="30" style="230" bestFit="1" customWidth="1"/>
    <col min="7941" max="8187" width="9.140625" style="230"/>
    <col min="8188" max="8189" width="11" style="230" bestFit="1" customWidth="1"/>
    <col min="8190" max="8190" width="40" style="230" bestFit="1" customWidth="1"/>
    <col min="8191" max="8191" width="13" style="230" bestFit="1" customWidth="1"/>
    <col min="8192" max="8192" width="14" style="230" bestFit="1" customWidth="1"/>
    <col min="8193" max="8194" width="13" style="230" bestFit="1" customWidth="1"/>
    <col min="8195" max="8195" width="14" style="230" bestFit="1" customWidth="1"/>
    <col min="8196" max="8196" width="30" style="230" bestFit="1" customWidth="1"/>
    <col min="8197" max="8443" width="9.140625" style="230"/>
    <col min="8444" max="8445" width="11" style="230" bestFit="1" customWidth="1"/>
    <col min="8446" max="8446" width="40" style="230" bestFit="1" customWidth="1"/>
    <col min="8447" max="8447" width="13" style="230" bestFit="1" customWidth="1"/>
    <col min="8448" max="8448" width="14" style="230" bestFit="1" customWidth="1"/>
    <col min="8449" max="8450" width="13" style="230" bestFit="1" customWidth="1"/>
    <col min="8451" max="8451" width="14" style="230" bestFit="1" customWidth="1"/>
    <col min="8452" max="8452" width="30" style="230" bestFit="1" customWidth="1"/>
    <col min="8453" max="8699" width="9.140625" style="230"/>
    <col min="8700" max="8701" width="11" style="230" bestFit="1" customWidth="1"/>
    <col min="8702" max="8702" width="40" style="230" bestFit="1" customWidth="1"/>
    <col min="8703" max="8703" width="13" style="230" bestFit="1" customWidth="1"/>
    <col min="8704" max="8704" width="14" style="230" bestFit="1" customWidth="1"/>
    <col min="8705" max="8706" width="13" style="230" bestFit="1" customWidth="1"/>
    <col min="8707" max="8707" width="14" style="230" bestFit="1" customWidth="1"/>
    <col min="8708" max="8708" width="30" style="230" bestFit="1" customWidth="1"/>
    <col min="8709" max="8955" width="9.140625" style="230"/>
    <col min="8956" max="8957" width="11" style="230" bestFit="1" customWidth="1"/>
    <col min="8958" max="8958" width="40" style="230" bestFit="1" customWidth="1"/>
    <col min="8959" max="8959" width="13" style="230" bestFit="1" customWidth="1"/>
    <col min="8960" max="8960" width="14" style="230" bestFit="1" customWidth="1"/>
    <col min="8961" max="8962" width="13" style="230" bestFit="1" customWidth="1"/>
    <col min="8963" max="8963" width="14" style="230" bestFit="1" customWidth="1"/>
    <col min="8964" max="8964" width="30" style="230" bestFit="1" customWidth="1"/>
    <col min="8965" max="9211" width="9.140625" style="230"/>
    <col min="9212" max="9213" width="11" style="230" bestFit="1" customWidth="1"/>
    <col min="9214" max="9214" width="40" style="230" bestFit="1" customWidth="1"/>
    <col min="9215" max="9215" width="13" style="230" bestFit="1" customWidth="1"/>
    <col min="9216" max="9216" width="14" style="230" bestFit="1" customWidth="1"/>
    <col min="9217" max="9218" width="13" style="230" bestFit="1" customWidth="1"/>
    <col min="9219" max="9219" width="14" style="230" bestFit="1" customWidth="1"/>
    <col min="9220" max="9220" width="30" style="230" bestFit="1" customWidth="1"/>
    <col min="9221" max="9467" width="9.140625" style="230"/>
    <col min="9468" max="9469" width="11" style="230" bestFit="1" customWidth="1"/>
    <col min="9470" max="9470" width="40" style="230" bestFit="1" customWidth="1"/>
    <col min="9471" max="9471" width="13" style="230" bestFit="1" customWidth="1"/>
    <col min="9472" max="9472" width="14" style="230" bestFit="1" customWidth="1"/>
    <col min="9473" max="9474" width="13" style="230" bestFit="1" customWidth="1"/>
    <col min="9475" max="9475" width="14" style="230" bestFit="1" customWidth="1"/>
    <col min="9476" max="9476" width="30" style="230" bestFit="1" customWidth="1"/>
    <col min="9477" max="9723" width="9.140625" style="230"/>
    <col min="9724" max="9725" width="11" style="230" bestFit="1" customWidth="1"/>
    <col min="9726" max="9726" width="40" style="230" bestFit="1" customWidth="1"/>
    <col min="9727" max="9727" width="13" style="230" bestFit="1" customWidth="1"/>
    <col min="9728" max="9728" width="14" style="230" bestFit="1" customWidth="1"/>
    <col min="9729" max="9730" width="13" style="230" bestFit="1" customWidth="1"/>
    <col min="9731" max="9731" width="14" style="230" bestFit="1" customWidth="1"/>
    <col min="9732" max="9732" width="30" style="230" bestFit="1" customWidth="1"/>
    <col min="9733" max="9979" width="9.140625" style="230"/>
    <col min="9980" max="9981" width="11" style="230" bestFit="1" customWidth="1"/>
    <col min="9982" max="9982" width="40" style="230" bestFit="1" customWidth="1"/>
    <col min="9983" max="9983" width="13" style="230" bestFit="1" customWidth="1"/>
    <col min="9984" max="9984" width="14" style="230" bestFit="1" customWidth="1"/>
    <col min="9985" max="9986" width="13" style="230" bestFit="1" customWidth="1"/>
    <col min="9987" max="9987" width="14" style="230" bestFit="1" customWidth="1"/>
    <col min="9988" max="9988" width="30" style="230" bestFit="1" customWidth="1"/>
    <col min="9989" max="10235" width="9.140625" style="230"/>
    <col min="10236" max="10237" width="11" style="230" bestFit="1" customWidth="1"/>
    <col min="10238" max="10238" width="40" style="230" bestFit="1" customWidth="1"/>
    <col min="10239" max="10239" width="13" style="230" bestFit="1" customWidth="1"/>
    <col min="10240" max="10240" width="14" style="230" bestFit="1" customWidth="1"/>
    <col min="10241" max="10242" width="13" style="230" bestFit="1" customWidth="1"/>
    <col min="10243" max="10243" width="14" style="230" bestFit="1" customWidth="1"/>
    <col min="10244" max="10244" width="30" style="230" bestFit="1" customWidth="1"/>
    <col min="10245" max="10491" width="9.140625" style="230"/>
    <col min="10492" max="10493" width="11" style="230" bestFit="1" customWidth="1"/>
    <col min="10494" max="10494" width="40" style="230" bestFit="1" customWidth="1"/>
    <col min="10495" max="10495" width="13" style="230" bestFit="1" customWidth="1"/>
    <col min="10496" max="10496" width="14" style="230" bestFit="1" customWidth="1"/>
    <col min="10497" max="10498" width="13" style="230" bestFit="1" customWidth="1"/>
    <col min="10499" max="10499" width="14" style="230" bestFit="1" customWidth="1"/>
    <col min="10500" max="10500" width="30" style="230" bestFit="1" customWidth="1"/>
    <col min="10501" max="10747" width="9.140625" style="230"/>
    <col min="10748" max="10749" width="11" style="230" bestFit="1" customWidth="1"/>
    <col min="10750" max="10750" width="40" style="230" bestFit="1" customWidth="1"/>
    <col min="10751" max="10751" width="13" style="230" bestFit="1" customWidth="1"/>
    <col min="10752" max="10752" width="14" style="230" bestFit="1" customWidth="1"/>
    <col min="10753" max="10754" width="13" style="230" bestFit="1" customWidth="1"/>
    <col min="10755" max="10755" width="14" style="230" bestFit="1" customWidth="1"/>
    <col min="10756" max="10756" width="30" style="230" bestFit="1" customWidth="1"/>
    <col min="10757" max="11003" width="9.140625" style="230"/>
    <col min="11004" max="11005" width="11" style="230" bestFit="1" customWidth="1"/>
    <col min="11006" max="11006" width="40" style="230" bestFit="1" customWidth="1"/>
    <col min="11007" max="11007" width="13" style="230" bestFit="1" customWidth="1"/>
    <col min="11008" max="11008" width="14" style="230" bestFit="1" customWidth="1"/>
    <col min="11009" max="11010" width="13" style="230" bestFit="1" customWidth="1"/>
    <col min="11011" max="11011" width="14" style="230" bestFit="1" customWidth="1"/>
    <col min="11012" max="11012" width="30" style="230" bestFit="1" customWidth="1"/>
    <col min="11013" max="11259" width="9.140625" style="230"/>
    <col min="11260" max="11261" width="11" style="230" bestFit="1" customWidth="1"/>
    <col min="11262" max="11262" width="40" style="230" bestFit="1" customWidth="1"/>
    <col min="11263" max="11263" width="13" style="230" bestFit="1" customWidth="1"/>
    <col min="11264" max="11264" width="14" style="230" bestFit="1" customWidth="1"/>
    <col min="11265" max="11266" width="13" style="230" bestFit="1" customWidth="1"/>
    <col min="11267" max="11267" width="14" style="230" bestFit="1" customWidth="1"/>
    <col min="11268" max="11268" width="30" style="230" bestFit="1" customWidth="1"/>
    <col min="11269" max="11515" width="9.140625" style="230"/>
    <col min="11516" max="11517" width="11" style="230" bestFit="1" customWidth="1"/>
    <col min="11518" max="11518" width="40" style="230" bestFit="1" customWidth="1"/>
    <col min="11519" max="11519" width="13" style="230" bestFit="1" customWidth="1"/>
    <col min="11520" max="11520" width="14" style="230" bestFit="1" customWidth="1"/>
    <col min="11521" max="11522" width="13" style="230" bestFit="1" customWidth="1"/>
    <col min="11523" max="11523" width="14" style="230" bestFit="1" customWidth="1"/>
    <col min="11524" max="11524" width="30" style="230" bestFit="1" customWidth="1"/>
    <col min="11525" max="11771" width="9.140625" style="230"/>
    <col min="11772" max="11773" width="11" style="230" bestFit="1" customWidth="1"/>
    <col min="11774" max="11774" width="40" style="230" bestFit="1" customWidth="1"/>
    <col min="11775" max="11775" width="13" style="230" bestFit="1" customWidth="1"/>
    <col min="11776" max="11776" width="14" style="230" bestFit="1" customWidth="1"/>
    <col min="11777" max="11778" width="13" style="230" bestFit="1" customWidth="1"/>
    <col min="11779" max="11779" width="14" style="230" bestFit="1" customWidth="1"/>
    <col min="11780" max="11780" width="30" style="230" bestFit="1" customWidth="1"/>
    <col min="11781" max="12027" width="9.140625" style="230"/>
    <col min="12028" max="12029" width="11" style="230" bestFit="1" customWidth="1"/>
    <col min="12030" max="12030" width="40" style="230" bestFit="1" customWidth="1"/>
    <col min="12031" max="12031" width="13" style="230" bestFit="1" customWidth="1"/>
    <col min="12032" max="12032" width="14" style="230" bestFit="1" customWidth="1"/>
    <col min="12033" max="12034" width="13" style="230" bestFit="1" customWidth="1"/>
    <col min="12035" max="12035" width="14" style="230" bestFit="1" customWidth="1"/>
    <col min="12036" max="12036" width="30" style="230" bestFit="1" customWidth="1"/>
    <col min="12037" max="12283" width="9.140625" style="230"/>
    <col min="12284" max="12285" width="11" style="230" bestFit="1" customWidth="1"/>
    <col min="12286" max="12286" width="40" style="230" bestFit="1" customWidth="1"/>
    <col min="12287" max="12287" width="13" style="230" bestFit="1" customWidth="1"/>
    <col min="12288" max="12288" width="14" style="230" bestFit="1" customWidth="1"/>
    <col min="12289" max="12290" width="13" style="230" bestFit="1" customWidth="1"/>
    <col min="12291" max="12291" width="14" style="230" bestFit="1" customWidth="1"/>
    <col min="12292" max="12292" width="30" style="230" bestFit="1" customWidth="1"/>
    <col min="12293" max="12539" width="9.140625" style="230"/>
    <col min="12540" max="12541" width="11" style="230" bestFit="1" customWidth="1"/>
    <col min="12542" max="12542" width="40" style="230" bestFit="1" customWidth="1"/>
    <col min="12543" max="12543" width="13" style="230" bestFit="1" customWidth="1"/>
    <col min="12544" max="12544" width="14" style="230" bestFit="1" customWidth="1"/>
    <col min="12545" max="12546" width="13" style="230" bestFit="1" customWidth="1"/>
    <col min="12547" max="12547" width="14" style="230" bestFit="1" customWidth="1"/>
    <col min="12548" max="12548" width="30" style="230" bestFit="1" customWidth="1"/>
    <col min="12549" max="12795" width="9.140625" style="230"/>
    <col min="12796" max="12797" width="11" style="230" bestFit="1" customWidth="1"/>
    <col min="12798" max="12798" width="40" style="230" bestFit="1" customWidth="1"/>
    <col min="12799" max="12799" width="13" style="230" bestFit="1" customWidth="1"/>
    <col min="12800" max="12800" width="14" style="230" bestFit="1" customWidth="1"/>
    <col min="12801" max="12802" width="13" style="230" bestFit="1" customWidth="1"/>
    <col min="12803" max="12803" width="14" style="230" bestFit="1" customWidth="1"/>
    <col min="12804" max="12804" width="30" style="230" bestFit="1" customWidth="1"/>
    <col min="12805" max="13051" width="9.140625" style="230"/>
    <col min="13052" max="13053" width="11" style="230" bestFit="1" customWidth="1"/>
    <col min="13054" max="13054" width="40" style="230" bestFit="1" customWidth="1"/>
    <col min="13055" max="13055" width="13" style="230" bestFit="1" customWidth="1"/>
    <col min="13056" max="13056" width="14" style="230" bestFit="1" customWidth="1"/>
    <col min="13057" max="13058" width="13" style="230" bestFit="1" customWidth="1"/>
    <col min="13059" max="13059" width="14" style="230" bestFit="1" customWidth="1"/>
    <col min="13060" max="13060" width="30" style="230" bestFit="1" customWidth="1"/>
    <col min="13061" max="13307" width="9.140625" style="230"/>
    <col min="13308" max="13309" width="11" style="230" bestFit="1" customWidth="1"/>
    <col min="13310" max="13310" width="40" style="230" bestFit="1" customWidth="1"/>
    <col min="13311" max="13311" width="13" style="230" bestFit="1" customWidth="1"/>
    <col min="13312" max="13312" width="14" style="230" bestFit="1" customWidth="1"/>
    <col min="13313" max="13314" width="13" style="230" bestFit="1" customWidth="1"/>
    <col min="13315" max="13315" width="14" style="230" bestFit="1" customWidth="1"/>
    <col min="13316" max="13316" width="30" style="230" bestFit="1" customWidth="1"/>
    <col min="13317" max="13563" width="9.140625" style="230"/>
    <col min="13564" max="13565" width="11" style="230" bestFit="1" customWidth="1"/>
    <col min="13566" max="13566" width="40" style="230" bestFit="1" customWidth="1"/>
    <col min="13567" max="13567" width="13" style="230" bestFit="1" customWidth="1"/>
    <col min="13568" max="13568" width="14" style="230" bestFit="1" customWidth="1"/>
    <col min="13569" max="13570" width="13" style="230" bestFit="1" customWidth="1"/>
    <col min="13571" max="13571" width="14" style="230" bestFit="1" customWidth="1"/>
    <col min="13572" max="13572" width="30" style="230" bestFit="1" customWidth="1"/>
    <col min="13573" max="13819" width="9.140625" style="230"/>
    <col min="13820" max="13821" width="11" style="230" bestFit="1" customWidth="1"/>
    <col min="13822" max="13822" width="40" style="230" bestFit="1" customWidth="1"/>
    <col min="13823" max="13823" width="13" style="230" bestFit="1" customWidth="1"/>
    <col min="13824" max="13824" width="14" style="230" bestFit="1" customWidth="1"/>
    <col min="13825" max="13826" width="13" style="230" bestFit="1" customWidth="1"/>
    <col min="13827" max="13827" width="14" style="230" bestFit="1" customWidth="1"/>
    <col min="13828" max="13828" width="30" style="230" bestFit="1" customWidth="1"/>
    <col min="13829" max="14075" width="9.140625" style="230"/>
    <col min="14076" max="14077" width="11" style="230" bestFit="1" customWidth="1"/>
    <col min="14078" max="14078" width="40" style="230" bestFit="1" customWidth="1"/>
    <col min="14079" max="14079" width="13" style="230" bestFit="1" customWidth="1"/>
    <col min="14080" max="14080" width="14" style="230" bestFit="1" customWidth="1"/>
    <col min="14081" max="14082" width="13" style="230" bestFit="1" customWidth="1"/>
    <col min="14083" max="14083" width="14" style="230" bestFit="1" customWidth="1"/>
    <col min="14084" max="14084" width="30" style="230" bestFit="1" customWidth="1"/>
    <col min="14085" max="14331" width="9.140625" style="230"/>
    <col min="14332" max="14333" width="11" style="230" bestFit="1" customWidth="1"/>
    <col min="14334" max="14334" width="40" style="230" bestFit="1" customWidth="1"/>
    <col min="14335" max="14335" width="13" style="230" bestFit="1" customWidth="1"/>
    <col min="14336" max="14336" width="14" style="230" bestFit="1" customWidth="1"/>
    <col min="14337" max="14338" width="13" style="230" bestFit="1" customWidth="1"/>
    <col min="14339" max="14339" width="14" style="230" bestFit="1" customWidth="1"/>
    <col min="14340" max="14340" width="30" style="230" bestFit="1" customWidth="1"/>
    <col min="14341" max="14587" width="9.140625" style="230"/>
    <col min="14588" max="14589" width="11" style="230" bestFit="1" customWidth="1"/>
    <col min="14590" max="14590" width="40" style="230" bestFit="1" customWidth="1"/>
    <col min="14591" max="14591" width="13" style="230" bestFit="1" customWidth="1"/>
    <col min="14592" max="14592" width="14" style="230" bestFit="1" customWidth="1"/>
    <col min="14593" max="14594" width="13" style="230" bestFit="1" customWidth="1"/>
    <col min="14595" max="14595" width="14" style="230" bestFit="1" customWidth="1"/>
    <col min="14596" max="14596" width="30" style="230" bestFit="1" customWidth="1"/>
    <col min="14597" max="14843" width="9.140625" style="230"/>
    <col min="14844" max="14845" width="11" style="230" bestFit="1" customWidth="1"/>
    <col min="14846" max="14846" width="40" style="230" bestFit="1" customWidth="1"/>
    <col min="14847" max="14847" width="13" style="230" bestFit="1" customWidth="1"/>
    <col min="14848" max="14848" width="14" style="230" bestFit="1" customWidth="1"/>
    <col min="14849" max="14850" width="13" style="230" bestFit="1" customWidth="1"/>
    <col min="14851" max="14851" width="14" style="230" bestFit="1" customWidth="1"/>
    <col min="14852" max="14852" width="30" style="230" bestFit="1" customWidth="1"/>
    <col min="14853" max="15099" width="9.140625" style="230"/>
    <col min="15100" max="15101" width="11" style="230" bestFit="1" customWidth="1"/>
    <col min="15102" max="15102" width="40" style="230" bestFit="1" customWidth="1"/>
    <col min="15103" max="15103" width="13" style="230" bestFit="1" customWidth="1"/>
    <col min="15104" max="15104" width="14" style="230" bestFit="1" customWidth="1"/>
    <col min="15105" max="15106" width="13" style="230" bestFit="1" customWidth="1"/>
    <col min="15107" max="15107" width="14" style="230" bestFit="1" customWidth="1"/>
    <col min="15108" max="15108" width="30" style="230" bestFit="1" customWidth="1"/>
    <col min="15109" max="15355" width="9.140625" style="230"/>
    <col min="15356" max="15357" width="11" style="230" bestFit="1" customWidth="1"/>
    <col min="15358" max="15358" width="40" style="230" bestFit="1" customWidth="1"/>
    <col min="15359" max="15359" width="13" style="230" bestFit="1" customWidth="1"/>
    <col min="15360" max="15360" width="14" style="230" bestFit="1" customWidth="1"/>
    <col min="15361" max="15362" width="13" style="230" bestFit="1" customWidth="1"/>
    <col min="15363" max="15363" width="14" style="230" bestFit="1" customWidth="1"/>
    <col min="15364" max="15364" width="30" style="230" bestFit="1" customWidth="1"/>
    <col min="15365" max="15611" width="9.140625" style="230"/>
    <col min="15612" max="15613" width="11" style="230" bestFit="1" customWidth="1"/>
    <col min="15614" max="15614" width="40" style="230" bestFit="1" customWidth="1"/>
    <col min="15615" max="15615" width="13" style="230" bestFit="1" customWidth="1"/>
    <col min="15616" max="15616" width="14" style="230" bestFit="1" customWidth="1"/>
    <col min="15617" max="15618" width="13" style="230" bestFit="1" customWidth="1"/>
    <col min="15619" max="15619" width="14" style="230" bestFit="1" customWidth="1"/>
    <col min="15620" max="15620" width="30" style="230" bestFit="1" customWidth="1"/>
    <col min="15621" max="15867" width="9.140625" style="230"/>
    <col min="15868" max="15869" width="11" style="230" bestFit="1" customWidth="1"/>
    <col min="15870" max="15870" width="40" style="230" bestFit="1" customWidth="1"/>
    <col min="15871" max="15871" width="13" style="230" bestFit="1" customWidth="1"/>
    <col min="15872" max="15872" width="14" style="230" bestFit="1" customWidth="1"/>
    <col min="15873" max="15874" width="13" style="230" bestFit="1" customWidth="1"/>
    <col min="15875" max="15875" width="14" style="230" bestFit="1" customWidth="1"/>
    <col min="15876" max="15876" width="30" style="230" bestFit="1" customWidth="1"/>
    <col min="15877" max="16123" width="9.140625" style="230"/>
    <col min="16124" max="16125" width="11" style="230" bestFit="1" customWidth="1"/>
    <col min="16126" max="16126" width="40" style="230" bestFit="1" customWidth="1"/>
    <col min="16127" max="16127" width="13" style="230" bestFit="1" customWidth="1"/>
    <col min="16128" max="16128" width="14" style="230" bestFit="1" customWidth="1"/>
    <col min="16129" max="16130" width="13" style="230" bestFit="1" customWidth="1"/>
    <col min="16131" max="16131" width="14" style="230" bestFit="1" customWidth="1"/>
    <col min="16132" max="16132" width="30" style="230" bestFit="1" customWidth="1"/>
    <col min="16133" max="16384" width="9.140625" style="230"/>
  </cols>
  <sheetData>
    <row r="2" spans="1:7" x14ac:dyDescent="0.2">
      <c r="D2" s="327">
        <f>SUBTOTAL(9,D4:D67)</f>
        <v>147168245.16000003</v>
      </c>
      <c r="E2" s="306"/>
    </row>
    <row r="3" spans="1:7" x14ac:dyDescent="0.2">
      <c r="A3" s="254" t="s">
        <v>150</v>
      </c>
      <c r="B3" s="254" t="s">
        <v>151</v>
      </c>
      <c r="C3" s="254" t="s">
        <v>152</v>
      </c>
      <c r="D3" s="261" t="s">
        <v>739</v>
      </c>
      <c r="E3" s="74" t="s">
        <v>238</v>
      </c>
      <c r="F3" s="74" t="s">
        <v>122</v>
      </c>
      <c r="G3" s="74" t="s">
        <v>239</v>
      </c>
    </row>
    <row r="4" spans="1:7" x14ac:dyDescent="0.2">
      <c r="A4" s="269" t="s">
        <v>786</v>
      </c>
      <c r="B4" s="269" t="s">
        <v>787</v>
      </c>
      <c r="C4" s="269" t="s">
        <v>155</v>
      </c>
      <c r="D4" s="270">
        <v>36635.81</v>
      </c>
      <c r="E4" s="268" t="s">
        <v>911</v>
      </c>
      <c r="F4" s="268" t="s">
        <v>904</v>
      </c>
      <c r="G4" s="271"/>
    </row>
    <row r="5" spans="1:7" x14ac:dyDescent="0.2">
      <c r="A5" s="269" t="s">
        <v>788</v>
      </c>
      <c r="B5" s="269" t="s">
        <v>737</v>
      </c>
      <c r="C5" s="269" t="s">
        <v>155</v>
      </c>
      <c r="D5" s="270">
        <v>333.78</v>
      </c>
      <c r="E5" s="268" t="s">
        <v>912</v>
      </c>
      <c r="F5" s="268" t="s">
        <v>736</v>
      </c>
      <c r="G5" s="271"/>
    </row>
    <row r="6" spans="1:7" x14ac:dyDescent="0.2">
      <c r="A6" s="269" t="s">
        <v>789</v>
      </c>
      <c r="B6" s="269" t="s">
        <v>790</v>
      </c>
      <c r="C6" s="269" t="s">
        <v>155</v>
      </c>
      <c r="D6" s="270">
        <v>889768.61</v>
      </c>
      <c r="E6" s="268" t="s">
        <v>911</v>
      </c>
      <c r="F6" s="268" t="s">
        <v>904</v>
      </c>
      <c r="G6" s="271"/>
    </row>
    <row r="7" spans="1:7" x14ac:dyDescent="0.2">
      <c r="A7" s="269" t="s">
        <v>791</v>
      </c>
      <c r="B7" s="269" t="s">
        <v>690</v>
      </c>
      <c r="C7" s="269" t="s">
        <v>155</v>
      </c>
      <c r="D7" s="270">
        <v>19.579999999999998</v>
      </c>
      <c r="E7" s="268" t="s">
        <v>912</v>
      </c>
      <c r="F7" s="268" t="s">
        <v>689</v>
      </c>
      <c r="G7" s="271"/>
    </row>
    <row r="8" spans="1:7" x14ac:dyDescent="0.2">
      <c r="A8" s="269" t="s">
        <v>792</v>
      </c>
      <c r="B8" s="269" t="s">
        <v>691</v>
      </c>
      <c r="C8" s="269" t="s">
        <v>155</v>
      </c>
      <c r="D8" s="270">
        <v>176</v>
      </c>
      <c r="E8" s="268" t="s">
        <v>912</v>
      </c>
      <c r="F8" s="268" t="s">
        <v>689</v>
      </c>
      <c r="G8" s="271"/>
    </row>
    <row r="9" spans="1:7" x14ac:dyDescent="0.2">
      <c r="A9" s="269" t="s">
        <v>793</v>
      </c>
      <c r="B9" s="269" t="s">
        <v>716</v>
      </c>
      <c r="C9" s="269" t="s">
        <v>155</v>
      </c>
      <c r="D9" s="270">
        <v>88</v>
      </c>
      <c r="E9" s="268" t="s">
        <v>912</v>
      </c>
      <c r="F9" s="268" t="s">
        <v>715</v>
      </c>
      <c r="G9" s="271"/>
    </row>
    <row r="10" spans="1:7" x14ac:dyDescent="0.2">
      <c r="A10" s="269" t="s">
        <v>794</v>
      </c>
      <c r="B10" s="269" t="s">
        <v>692</v>
      </c>
      <c r="C10" s="269" t="s">
        <v>155</v>
      </c>
      <c r="D10" s="270">
        <v>20475.73</v>
      </c>
      <c r="E10" s="268" t="s">
        <v>912</v>
      </c>
      <c r="F10" s="268" t="s">
        <v>689</v>
      </c>
      <c r="G10" s="271"/>
    </row>
    <row r="11" spans="1:7" x14ac:dyDescent="0.2">
      <c r="A11" s="269" t="s">
        <v>795</v>
      </c>
      <c r="B11" s="269" t="s">
        <v>693</v>
      </c>
      <c r="C11" s="269" t="s">
        <v>155</v>
      </c>
      <c r="D11" s="270">
        <v>229</v>
      </c>
      <c r="E11" s="268" t="s">
        <v>912</v>
      </c>
      <c r="F11" s="268" t="s">
        <v>689</v>
      </c>
      <c r="G11" s="271"/>
    </row>
    <row r="12" spans="1:7" x14ac:dyDescent="0.2">
      <c r="A12" s="269" t="s">
        <v>796</v>
      </c>
      <c r="B12" s="269" t="s">
        <v>694</v>
      </c>
      <c r="C12" s="269" t="s">
        <v>155</v>
      </c>
      <c r="D12" s="270">
        <v>150</v>
      </c>
      <c r="E12" s="268" t="s">
        <v>912</v>
      </c>
      <c r="F12" s="268" t="s">
        <v>689</v>
      </c>
      <c r="G12" s="271"/>
    </row>
    <row r="13" spans="1:7" x14ac:dyDescent="0.2">
      <c r="A13" s="269" t="s">
        <v>797</v>
      </c>
      <c r="B13" s="269" t="s">
        <v>695</v>
      </c>
      <c r="C13" s="269" t="s">
        <v>155</v>
      </c>
      <c r="D13" s="270">
        <v>9189.23</v>
      </c>
      <c r="E13" s="268" t="s">
        <v>912</v>
      </c>
      <c r="F13" s="268" t="s">
        <v>689</v>
      </c>
      <c r="G13" s="271"/>
    </row>
    <row r="14" spans="1:7" x14ac:dyDescent="0.2">
      <c r="A14" s="269" t="s">
        <v>798</v>
      </c>
      <c r="B14" s="269" t="s">
        <v>717</v>
      </c>
      <c r="C14" s="269" t="s">
        <v>155</v>
      </c>
      <c r="D14" s="270">
        <v>1664.16</v>
      </c>
      <c r="E14" s="268" t="s">
        <v>912</v>
      </c>
      <c r="F14" s="268" t="s">
        <v>715</v>
      </c>
      <c r="G14" s="271"/>
    </row>
    <row r="15" spans="1:7" x14ac:dyDescent="0.2">
      <c r="A15" s="269" t="s">
        <v>799</v>
      </c>
      <c r="B15" s="269" t="s">
        <v>696</v>
      </c>
      <c r="C15" s="269" t="s">
        <v>155</v>
      </c>
      <c r="D15" s="270">
        <v>726316.13</v>
      </c>
      <c r="E15" s="268" t="s">
        <v>912</v>
      </c>
      <c r="F15" s="268" t="s">
        <v>689</v>
      </c>
      <c r="G15" s="271"/>
    </row>
    <row r="16" spans="1:7" x14ac:dyDescent="0.2">
      <c r="A16" s="269" t="s">
        <v>800</v>
      </c>
      <c r="B16" s="269" t="s">
        <v>697</v>
      </c>
      <c r="C16" s="269" t="s">
        <v>155</v>
      </c>
      <c r="D16" s="270">
        <v>377425.2</v>
      </c>
      <c r="E16" s="268" t="s">
        <v>912</v>
      </c>
      <c r="F16" s="268" t="s">
        <v>689</v>
      </c>
      <c r="G16" s="271"/>
    </row>
    <row r="17" spans="1:7" x14ac:dyDescent="0.2">
      <c r="A17" s="269" t="s">
        <v>801</v>
      </c>
      <c r="B17" s="269" t="s">
        <v>718</v>
      </c>
      <c r="C17" s="269" t="s">
        <v>155</v>
      </c>
      <c r="D17" s="270">
        <v>42269.67</v>
      </c>
      <c r="E17" s="268" t="s">
        <v>912</v>
      </c>
      <c r="F17" s="268" t="s">
        <v>715</v>
      </c>
      <c r="G17" s="271"/>
    </row>
    <row r="18" spans="1:7" x14ac:dyDescent="0.2">
      <c r="A18" s="269" t="s">
        <v>802</v>
      </c>
      <c r="B18" s="269" t="s">
        <v>698</v>
      </c>
      <c r="C18" s="269" t="s">
        <v>155</v>
      </c>
      <c r="D18" s="270">
        <v>302.39</v>
      </c>
      <c r="E18" s="268" t="s">
        <v>912</v>
      </c>
      <c r="F18" s="268" t="s">
        <v>689</v>
      </c>
      <c r="G18" s="271"/>
    </row>
    <row r="19" spans="1:7" x14ac:dyDescent="0.2">
      <c r="A19" s="269" t="s">
        <v>803</v>
      </c>
      <c r="B19" s="269" t="s">
        <v>719</v>
      </c>
      <c r="C19" s="269" t="s">
        <v>155</v>
      </c>
      <c r="D19" s="270">
        <v>413510.35</v>
      </c>
      <c r="E19" s="268" t="s">
        <v>912</v>
      </c>
      <c r="F19" s="268" t="s">
        <v>715</v>
      </c>
      <c r="G19" s="271"/>
    </row>
    <row r="20" spans="1:7" x14ac:dyDescent="0.2">
      <c r="A20" s="269" t="s">
        <v>804</v>
      </c>
      <c r="B20" s="269" t="s">
        <v>699</v>
      </c>
      <c r="C20" s="269" t="s">
        <v>155</v>
      </c>
      <c r="D20" s="270">
        <v>745</v>
      </c>
      <c r="E20" s="268" t="s">
        <v>912</v>
      </c>
      <c r="F20" s="268" t="s">
        <v>689</v>
      </c>
      <c r="G20" s="271"/>
    </row>
    <row r="21" spans="1:7" x14ac:dyDescent="0.2">
      <c r="A21" s="269" t="s">
        <v>805</v>
      </c>
      <c r="B21" s="269" t="s">
        <v>700</v>
      </c>
      <c r="C21" s="269" t="s">
        <v>155</v>
      </c>
      <c r="D21" s="270">
        <v>84</v>
      </c>
      <c r="E21" s="268" t="s">
        <v>912</v>
      </c>
      <c r="F21" s="268" t="s">
        <v>689</v>
      </c>
      <c r="G21" s="271"/>
    </row>
    <row r="22" spans="1:7" x14ac:dyDescent="0.2">
      <c r="A22" s="269" t="s">
        <v>806</v>
      </c>
      <c r="B22" s="269" t="s">
        <v>720</v>
      </c>
      <c r="C22" s="269" t="s">
        <v>155</v>
      </c>
      <c r="D22" s="270">
        <v>8868233.9600000009</v>
      </c>
      <c r="E22" s="268" t="s">
        <v>912</v>
      </c>
      <c r="F22" s="268" t="s">
        <v>715</v>
      </c>
      <c r="G22" s="271"/>
    </row>
    <row r="23" spans="1:7" x14ac:dyDescent="0.2">
      <c r="A23" s="269" t="s">
        <v>807</v>
      </c>
      <c r="B23" s="269" t="s">
        <v>701</v>
      </c>
      <c r="C23" s="269" t="s">
        <v>155</v>
      </c>
      <c r="D23" s="270">
        <v>4218.3599999999997</v>
      </c>
      <c r="E23" s="268" t="s">
        <v>912</v>
      </c>
      <c r="F23" s="268" t="s">
        <v>689</v>
      </c>
      <c r="G23" s="271"/>
    </row>
    <row r="24" spans="1:7" x14ac:dyDescent="0.2">
      <c r="A24" s="269" t="s">
        <v>808</v>
      </c>
      <c r="B24" s="269" t="s">
        <v>721</v>
      </c>
      <c r="C24" s="269" t="s">
        <v>155</v>
      </c>
      <c r="D24" s="270">
        <v>3616616.69</v>
      </c>
      <c r="E24" s="268" t="s">
        <v>912</v>
      </c>
      <c r="F24" s="268" t="s">
        <v>715</v>
      </c>
      <c r="G24" s="271"/>
    </row>
    <row r="25" spans="1:7" x14ac:dyDescent="0.2">
      <c r="A25" s="269" t="s">
        <v>809</v>
      </c>
      <c r="B25" s="269" t="s">
        <v>702</v>
      </c>
      <c r="C25" s="269" t="s">
        <v>155</v>
      </c>
      <c r="D25" s="270">
        <v>100.68</v>
      </c>
      <c r="E25" s="268" t="s">
        <v>912</v>
      </c>
      <c r="F25" s="268" t="s">
        <v>689</v>
      </c>
      <c r="G25" s="271"/>
    </row>
    <row r="26" spans="1:7" x14ac:dyDescent="0.2">
      <c r="A26" s="269" t="s">
        <v>810</v>
      </c>
      <c r="B26" s="269" t="s">
        <v>703</v>
      </c>
      <c r="C26" s="269" t="s">
        <v>155</v>
      </c>
      <c r="D26" s="270">
        <v>3184483.76</v>
      </c>
      <c r="E26" s="268" t="s">
        <v>912</v>
      </c>
      <c r="F26" s="268" t="s">
        <v>689</v>
      </c>
      <c r="G26" s="271"/>
    </row>
    <row r="27" spans="1:7" x14ac:dyDescent="0.2">
      <c r="A27" s="269" t="s">
        <v>811</v>
      </c>
      <c r="B27" s="269" t="s">
        <v>722</v>
      </c>
      <c r="C27" s="269" t="s">
        <v>155</v>
      </c>
      <c r="D27" s="270">
        <v>115787.61</v>
      </c>
      <c r="E27" s="268" t="s">
        <v>912</v>
      </c>
      <c r="F27" s="268" t="s">
        <v>715</v>
      </c>
      <c r="G27" s="271"/>
    </row>
    <row r="28" spans="1:7" x14ac:dyDescent="0.2">
      <c r="A28" s="269" t="s">
        <v>812</v>
      </c>
      <c r="B28" s="269" t="s">
        <v>704</v>
      </c>
      <c r="C28" s="269" t="s">
        <v>155</v>
      </c>
      <c r="D28" s="270">
        <v>24212.87</v>
      </c>
      <c r="E28" s="268" t="s">
        <v>912</v>
      </c>
      <c r="F28" s="268" t="s">
        <v>689</v>
      </c>
      <c r="G28" s="271"/>
    </row>
    <row r="29" spans="1:7" x14ac:dyDescent="0.2">
      <c r="A29" s="269" t="s">
        <v>813</v>
      </c>
      <c r="B29" s="269" t="s">
        <v>705</v>
      </c>
      <c r="C29" s="269" t="s">
        <v>155</v>
      </c>
      <c r="D29" s="270">
        <v>9639.31</v>
      </c>
      <c r="E29" s="268" t="s">
        <v>912</v>
      </c>
      <c r="F29" s="268" t="s">
        <v>689</v>
      </c>
      <c r="G29" s="271"/>
    </row>
    <row r="30" spans="1:7" x14ac:dyDescent="0.2">
      <c r="A30" s="269" t="s">
        <v>814</v>
      </c>
      <c r="B30" s="269" t="s">
        <v>706</v>
      </c>
      <c r="C30" s="269" t="s">
        <v>155</v>
      </c>
      <c r="D30" s="270">
        <v>177417.22</v>
      </c>
      <c r="E30" s="268" t="s">
        <v>912</v>
      </c>
      <c r="F30" s="268" t="s">
        <v>689</v>
      </c>
      <c r="G30" s="271"/>
    </row>
    <row r="31" spans="1:7" x14ac:dyDescent="0.2">
      <c r="A31" s="269" t="s">
        <v>815</v>
      </c>
      <c r="B31" s="269" t="s">
        <v>724</v>
      </c>
      <c r="C31" s="269" t="s">
        <v>155</v>
      </c>
      <c r="D31" s="270">
        <v>13.09</v>
      </c>
      <c r="E31" s="268" t="s">
        <v>912</v>
      </c>
      <c r="F31" s="268" t="s">
        <v>715</v>
      </c>
      <c r="G31" s="271"/>
    </row>
    <row r="32" spans="1:7" x14ac:dyDescent="0.2">
      <c r="A32" s="269" t="s">
        <v>816</v>
      </c>
      <c r="B32" s="269" t="s">
        <v>707</v>
      </c>
      <c r="C32" s="269" t="s">
        <v>155</v>
      </c>
      <c r="D32" s="270">
        <v>524.39</v>
      </c>
      <c r="E32" s="268" t="s">
        <v>912</v>
      </c>
      <c r="F32" s="268" t="s">
        <v>689</v>
      </c>
      <c r="G32" s="271"/>
    </row>
    <row r="33" spans="1:7" x14ac:dyDescent="0.2">
      <c r="A33" s="269" t="s">
        <v>817</v>
      </c>
      <c r="B33" s="269" t="s">
        <v>708</v>
      </c>
      <c r="C33" s="269" t="s">
        <v>155</v>
      </c>
      <c r="D33" s="270">
        <v>320.23</v>
      </c>
      <c r="E33" s="268" t="s">
        <v>912</v>
      </c>
      <c r="F33" s="268" t="s">
        <v>689</v>
      </c>
      <c r="G33" s="271"/>
    </row>
    <row r="34" spans="1:7" x14ac:dyDescent="0.2">
      <c r="A34" s="269" t="s">
        <v>818</v>
      </c>
      <c r="B34" s="269" t="s">
        <v>725</v>
      </c>
      <c r="C34" s="269" t="s">
        <v>155</v>
      </c>
      <c r="D34" s="270">
        <v>85902</v>
      </c>
      <c r="E34" s="268" t="s">
        <v>912</v>
      </c>
      <c r="F34" s="268" t="s">
        <v>715</v>
      </c>
      <c r="G34" s="271"/>
    </row>
    <row r="35" spans="1:7" x14ac:dyDescent="0.2">
      <c r="A35" s="269" t="s">
        <v>819</v>
      </c>
      <c r="B35" s="269" t="s">
        <v>709</v>
      </c>
      <c r="C35" s="269" t="s">
        <v>155</v>
      </c>
      <c r="D35" s="270">
        <v>441.62</v>
      </c>
      <c r="E35" s="268" t="s">
        <v>912</v>
      </c>
      <c r="F35" s="268" t="s">
        <v>689</v>
      </c>
      <c r="G35" s="271"/>
    </row>
    <row r="36" spans="1:7" x14ac:dyDescent="0.2">
      <c r="A36" s="269" t="s">
        <v>820</v>
      </c>
      <c r="B36" s="269" t="s">
        <v>710</v>
      </c>
      <c r="C36" s="269" t="s">
        <v>155</v>
      </c>
      <c r="D36" s="270">
        <v>8903816.0700000003</v>
      </c>
      <c r="E36" s="268" t="s">
        <v>912</v>
      </c>
      <c r="F36" s="268" t="s">
        <v>689</v>
      </c>
      <c r="G36" s="271"/>
    </row>
    <row r="37" spans="1:7" x14ac:dyDescent="0.2">
      <c r="A37" s="269" t="s">
        <v>821</v>
      </c>
      <c r="B37" s="269" t="s">
        <v>732</v>
      </c>
      <c r="C37" s="269" t="s">
        <v>155</v>
      </c>
      <c r="D37" s="270">
        <v>18077.61</v>
      </c>
      <c r="E37" s="268" t="s">
        <v>912</v>
      </c>
      <c r="F37" s="268" t="s">
        <v>735</v>
      </c>
      <c r="G37" s="271"/>
    </row>
    <row r="38" spans="1:7" x14ac:dyDescent="0.2">
      <c r="A38" s="269" t="s">
        <v>822</v>
      </c>
      <c r="B38" s="269" t="s">
        <v>712</v>
      </c>
      <c r="C38" s="269" t="s">
        <v>155</v>
      </c>
      <c r="D38" s="270">
        <v>2799215.24</v>
      </c>
      <c r="E38" s="268" t="s">
        <v>912</v>
      </c>
      <c r="F38" s="268" t="s">
        <v>689</v>
      </c>
      <c r="G38" s="271"/>
    </row>
    <row r="39" spans="1:7" x14ac:dyDescent="0.2">
      <c r="A39" s="269" t="s">
        <v>823</v>
      </c>
      <c r="B39" s="269" t="s">
        <v>726</v>
      </c>
      <c r="C39" s="269" t="s">
        <v>155</v>
      </c>
      <c r="D39" s="270">
        <v>5474104.2699999996</v>
      </c>
      <c r="E39" s="268" t="s">
        <v>912</v>
      </c>
      <c r="F39" s="268" t="s">
        <v>715</v>
      </c>
      <c r="G39" s="271"/>
    </row>
    <row r="40" spans="1:7" x14ac:dyDescent="0.2">
      <c r="A40" s="269" t="s">
        <v>824</v>
      </c>
      <c r="B40" s="269" t="s">
        <v>711</v>
      </c>
      <c r="C40" s="269" t="s">
        <v>155</v>
      </c>
      <c r="D40" s="270">
        <v>1238.32</v>
      </c>
      <c r="E40" s="268" t="s">
        <v>912</v>
      </c>
      <c r="F40" s="268" t="s">
        <v>689</v>
      </c>
      <c r="G40" s="271"/>
    </row>
    <row r="41" spans="1:7" x14ac:dyDescent="0.2">
      <c r="A41" s="269" t="s">
        <v>825</v>
      </c>
      <c r="B41" s="269" t="s">
        <v>826</v>
      </c>
      <c r="C41" s="269" t="s">
        <v>155</v>
      </c>
      <c r="D41" s="270">
        <v>8972925.5800000001</v>
      </c>
      <c r="E41" s="268" t="s">
        <v>911</v>
      </c>
      <c r="F41" s="268" t="s">
        <v>904</v>
      </c>
      <c r="G41" s="271"/>
    </row>
    <row r="42" spans="1:7" x14ac:dyDescent="0.2">
      <c r="A42" s="277" t="s">
        <v>827</v>
      </c>
      <c r="B42" s="277" t="s">
        <v>828</v>
      </c>
      <c r="C42" s="277" t="s">
        <v>155</v>
      </c>
      <c r="D42" s="278">
        <v>269000.99</v>
      </c>
      <c r="E42" s="279" t="s">
        <v>912</v>
      </c>
      <c r="F42" s="279" t="s">
        <v>909</v>
      </c>
      <c r="G42" s="280"/>
    </row>
    <row r="43" spans="1:7" x14ac:dyDescent="0.2">
      <c r="A43" s="277" t="s">
        <v>829</v>
      </c>
      <c r="B43" s="277" t="s">
        <v>830</v>
      </c>
      <c r="C43" s="277" t="s">
        <v>155</v>
      </c>
      <c r="D43" s="278">
        <v>21800331.010000002</v>
      </c>
      <c r="E43" s="279" t="s">
        <v>912</v>
      </c>
      <c r="F43" s="279" t="s">
        <v>909</v>
      </c>
      <c r="G43" s="280"/>
    </row>
    <row r="44" spans="1:7" x14ac:dyDescent="0.2">
      <c r="A44" s="269" t="s">
        <v>831</v>
      </c>
      <c r="B44" s="269" t="s">
        <v>832</v>
      </c>
      <c r="C44" s="269" t="s">
        <v>155</v>
      </c>
      <c r="D44" s="270">
        <v>32535.4</v>
      </c>
      <c r="E44" s="268" t="s">
        <v>912</v>
      </c>
      <c r="F44" s="268" t="s">
        <v>910</v>
      </c>
      <c r="G44" s="271"/>
    </row>
    <row r="45" spans="1:7" x14ac:dyDescent="0.2">
      <c r="A45" s="269" t="s">
        <v>833</v>
      </c>
      <c r="B45" s="269" t="s">
        <v>834</v>
      </c>
      <c r="C45" s="269" t="s">
        <v>155</v>
      </c>
      <c r="D45" s="270">
        <v>902941.28</v>
      </c>
      <c r="E45" s="268" t="s">
        <v>912</v>
      </c>
      <c r="F45" s="268" t="s">
        <v>910</v>
      </c>
      <c r="G45" s="271"/>
    </row>
    <row r="46" spans="1:7" x14ac:dyDescent="0.2">
      <c r="A46" s="269" t="s">
        <v>835</v>
      </c>
      <c r="B46" s="269" t="s">
        <v>836</v>
      </c>
      <c r="C46" s="269" t="s">
        <v>155</v>
      </c>
      <c r="D46" s="270">
        <v>8773945.5399999991</v>
      </c>
      <c r="E46" s="268" t="s">
        <v>912</v>
      </c>
      <c r="F46" s="268" t="s">
        <v>910</v>
      </c>
      <c r="G46" s="271"/>
    </row>
    <row r="47" spans="1:7" x14ac:dyDescent="0.2">
      <c r="A47" s="269" t="s">
        <v>839</v>
      </c>
      <c r="B47" s="269" t="s">
        <v>733</v>
      </c>
      <c r="C47" s="269" t="s">
        <v>208</v>
      </c>
      <c r="D47" s="270">
        <v>45831</v>
      </c>
      <c r="E47" s="268" t="s">
        <v>912</v>
      </c>
      <c r="F47" s="268" t="s">
        <v>735</v>
      </c>
      <c r="G47" s="271"/>
    </row>
    <row r="48" spans="1:7" x14ac:dyDescent="0.2">
      <c r="A48" s="269" t="s">
        <v>840</v>
      </c>
      <c r="B48" s="269" t="s">
        <v>734</v>
      </c>
      <c r="C48" s="269" t="s">
        <v>208</v>
      </c>
      <c r="D48" s="270">
        <v>4583.1000000000004</v>
      </c>
      <c r="E48" s="268" t="s">
        <v>912</v>
      </c>
      <c r="F48" s="268" t="s">
        <v>735</v>
      </c>
      <c r="G48" s="271"/>
    </row>
    <row r="49" spans="1:7" x14ac:dyDescent="0.2">
      <c r="A49" s="269" t="s">
        <v>841</v>
      </c>
      <c r="B49" s="269" t="s">
        <v>842</v>
      </c>
      <c r="C49" s="269" t="s">
        <v>155</v>
      </c>
      <c r="D49" s="270">
        <v>494228.87</v>
      </c>
      <c r="E49" s="268" t="s">
        <v>911</v>
      </c>
      <c r="F49" s="268" t="s">
        <v>904</v>
      </c>
      <c r="G49" s="271"/>
    </row>
    <row r="50" spans="1:7" x14ac:dyDescent="0.2">
      <c r="A50" s="269" t="s">
        <v>843</v>
      </c>
      <c r="B50" s="269" t="s">
        <v>844</v>
      </c>
      <c r="C50" s="269" t="s">
        <v>155</v>
      </c>
      <c r="D50" s="270">
        <v>1301751.27</v>
      </c>
      <c r="E50" s="268" t="s">
        <v>912</v>
      </c>
      <c r="F50" s="268" t="s">
        <v>910</v>
      </c>
      <c r="G50" s="271"/>
    </row>
    <row r="51" spans="1:7" x14ac:dyDescent="0.2">
      <c r="A51" s="269" t="s">
        <v>845</v>
      </c>
      <c r="B51" s="269" t="s">
        <v>846</v>
      </c>
      <c r="C51" s="269" t="s">
        <v>155</v>
      </c>
      <c r="D51" s="270">
        <v>2545306.96</v>
      </c>
      <c r="E51" s="268" t="s">
        <v>911</v>
      </c>
      <c r="F51" s="268" t="s">
        <v>904</v>
      </c>
      <c r="G51" s="271"/>
    </row>
    <row r="52" spans="1:7" x14ac:dyDescent="0.2">
      <c r="A52" s="269" t="s">
        <v>847</v>
      </c>
      <c r="B52" s="269" t="s">
        <v>848</v>
      </c>
      <c r="C52" s="269" t="s">
        <v>155</v>
      </c>
      <c r="D52" s="270">
        <v>2382987.77</v>
      </c>
      <c r="E52" s="268" t="s">
        <v>912</v>
      </c>
      <c r="F52" s="268" t="s">
        <v>910</v>
      </c>
      <c r="G52" s="271"/>
    </row>
    <row r="53" spans="1:7" x14ac:dyDescent="0.2">
      <c r="A53" s="269" t="s">
        <v>853</v>
      </c>
      <c r="B53" s="269" t="s">
        <v>713</v>
      </c>
      <c r="C53" s="269" t="s">
        <v>215</v>
      </c>
      <c r="D53" s="270">
        <v>2799215.24</v>
      </c>
      <c r="E53" s="268" t="s">
        <v>912</v>
      </c>
      <c r="F53" s="268" t="s">
        <v>689</v>
      </c>
      <c r="G53" s="271"/>
    </row>
    <row r="54" spans="1:7" x14ac:dyDescent="0.2">
      <c r="A54" s="269" t="s">
        <v>854</v>
      </c>
      <c r="B54" s="269" t="s">
        <v>727</v>
      </c>
      <c r="C54" s="269" t="s">
        <v>215</v>
      </c>
      <c r="D54" s="270">
        <v>2902346.22</v>
      </c>
      <c r="E54" s="268" t="s">
        <v>912</v>
      </c>
      <c r="F54" s="268" t="s">
        <v>715</v>
      </c>
      <c r="G54" s="271"/>
    </row>
    <row r="55" spans="1:7" x14ac:dyDescent="0.2">
      <c r="A55" s="269" t="s">
        <v>855</v>
      </c>
      <c r="B55" s="269" t="s">
        <v>731</v>
      </c>
      <c r="C55" s="269" t="s">
        <v>215</v>
      </c>
      <c r="D55" s="270">
        <v>45000.24</v>
      </c>
      <c r="E55" s="268" t="s">
        <v>912</v>
      </c>
      <c r="F55" s="268" t="s">
        <v>730</v>
      </c>
      <c r="G55" s="271"/>
    </row>
    <row r="56" spans="1:7" x14ac:dyDescent="0.2">
      <c r="A56" s="269" t="s">
        <v>856</v>
      </c>
      <c r="B56" s="269" t="s">
        <v>857</v>
      </c>
      <c r="C56" s="269" t="s">
        <v>155</v>
      </c>
      <c r="D56" s="270">
        <v>2196273.31</v>
      </c>
      <c r="E56" s="268" t="s">
        <v>911</v>
      </c>
      <c r="F56" s="268" t="s">
        <v>904</v>
      </c>
      <c r="G56" s="271"/>
    </row>
    <row r="57" spans="1:7" x14ac:dyDescent="0.2">
      <c r="A57" s="269" t="s">
        <v>858</v>
      </c>
      <c r="B57" s="269" t="s">
        <v>859</v>
      </c>
      <c r="C57" s="269" t="s">
        <v>155</v>
      </c>
      <c r="D57" s="270">
        <v>2198396.67</v>
      </c>
      <c r="E57" s="268" t="s">
        <v>912</v>
      </c>
      <c r="F57" s="268" t="s">
        <v>910</v>
      </c>
      <c r="G57" s="271"/>
    </row>
    <row r="58" spans="1:7" x14ac:dyDescent="0.2">
      <c r="A58" s="269" t="s">
        <v>860</v>
      </c>
      <c r="B58" s="269" t="s">
        <v>861</v>
      </c>
      <c r="C58" s="269" t="s">
        <v>155</v>
      </c>
      <c r="D58" s="270">
        <v>4931877.1399999997</v>
      </c>
      <c r="E58" s="268" t="s">
        <v>911</v>
      </c>
      <c r="F58" s="268" t="s">
        <v>904</v>
      </c>
      <c r="G58" s="271"/>
    </row>
    <row r="59" spans="1:7" x14ac:dyDescent="0.2">
      <c r="A59" s="277" t="s">
        <v>862</v>
      </c>
      <c r="B59" s="277" t="s">
        <v>863</v>
      </c>
      <c r="C59" s="277" t="s">
        <v>155</v>
      </c>
      <c r="D59" s="278">
        <v>2432144.34</v>
      </c>
      <c r="E59" s="279" t="s">
        <v>912</v>
      </c>
      <c r="F59" s="279" t="s">
        <v>909</v>
      </c>
      <c r="G59" s="280"/>
    </row>
    <row r="60" spans="1:7" x14ac:dyDescent="0.2">
      <c r="A60" s="269" t="s">
        <v>864</v>
      </c>
      <c r="B60" s="269" t="s">
        <v>865</v>
      </c>
      <c r="C60" s="269" t="s">
        <v>155</v>
      </c>
      <c r="D60" s="270">
        <v>4981959.2300000004</v>
      </c>
      <c r="E60" s="268" t="s">
        <v>912</v>
      </c>
      <c r="F60" s="268" t="s">
        <v>910</v>
      </c>
      <c r="G60" s="271"/>
    </row>
    <row r="61" spans="1:7" x14ac:dyDescent="0.2">
      <c r="A61" s="269" t="s">
        <v>867</v>
      </c>
      <c r="B61" s="269" t="s">
        <v>714</v>
      </c>
      <c r="C61" s="269" t="s">
        <v>215</v>
      </c>
      <c r="D61" s="270">
        <v>632935.38</v>
      </c>
      <c r="E61" s="268" t="s">
        <v>912</v>
      </c>
      <c r="F61" s="268" t="s">
        <v>689</v>
      </c>
      <c r="G61" s="271"/>
    </row>
    <row r="62" spans="1:7" x14ac:dyDescent="0.2">
      <c r="A62" s="269" t="s">
        <v>868</v>
      </c>
      <c r="B62" s="269" t="s">
        <v>869</v>
      </c>
      <c r="C62" s="269" t="s">
        <v>155</v>
      </c>
      <c r="D62" s="270">
        <v>14756797.9</v>
      </c>
      <c r="E62" s="268" t="s">
        <v>911</v>
      </c>
      <c r="F62" s="268" t="s">
        <v>904</v>
      </c>
      <c r="G62" s="271"/>
    </row>
    <row r="63" spans="1:7" x14ac:dyDescent="0.2">
      <c r="A63" s="277" t="s">
        <v>870</v>
      </c>
      <c r="B63" s="277" t="s">
        <v>871</v>
      </c>
      <c r="C63" s="277" t="s">
        <v>155</v>
      </c>
      <c r="D63" s="278">
        <v>7277282.3600000003</v>
      </c>
      <c r="E63" s="279" t="s">
        <v>912</v>
      </c>
      <c r="F63" s="279" t="s">
        <v>909</v>
      </c>
      <c r="G63" s="280"/>
    </row>
    <row r="64" spans="1:7" x14ac:dyDescent="0.2">
      <c r="A64" s="269" t="s">
        <v>872</v>
      </c>
      <c r="B64" s="269" t="s">
        <v>873</v>
      </c>
      <c r="C64" s="269" t="s">
        <v>155</v>
      </c>
      <c r="D64" s="270">
        <v>14906650</v>
      </c>
      <c r="E64" s="268" t="s">
        <v>912</v>
      </c>
      <c r="F64" s="268" t="s">
        <v>910</v>
      </c>
      <c r="G64" s="271"/>
    </row>
    <row r="65" spans="1:7" x14ac:dyDescent="0.2">
      <c r="A65" s="269" t="s">
        <v>875</v>
      </c>
      <c r="B65" s="269" t="s">
        <v>728</v>
      </c>
      <c r="C65" s="269" t="s">
        <v>215</v>
      </c>
      <c r="D65" s="270">
        <v>1893822.43</v>
      </c>
      <c r="E65" s="268" t="s">
        <v>912</v>
      </c>
      <c r="F65" s="268" t="s">
        <v>715</v>
      </c>
      <c r="G65" s="271"/>
    </row>
    <row r="66" spans="1:7" x14ac:dyDescent="0.2">
      <c r="A66" s="269" t="s">
        <v>876</v>
      </c>
      <c r="B66" s="269" t="s">
        <v>877</v>
      </c>
      <c r="C66" s="269" t="s">
        <v>155</v>
      </c>
      <c r="D66" s="270">
        <v>941259.99</v>
      </c>
      <c r="E66" s="268" t="s">
        <v>911</v>
      </c>
      <c r="F66" s="268" t="s">
        <v>904</v>
      </c>
      <c r="G66" s="271"/>
    </row>
    <row r="67" spans="1:7" x14ac:dyDescent="0.2">
      <c r="A67" s="269" t="s">
        <v>878</v>
      </c>
      <c r="B67" s="269" t="s">
        <v>879</v>
      </c>
      <c r="C67" s="269" t="s">
        <v>155</v>
      </c>
      <c r="D67" s="270">
        <v>942170</v>
      </c>
      <c r="E67" s="268" t="s">
        <v>912</v>
      </c>
      <c r="F67" s="268" t="s">
        <v>910</v>
      </c>
      <c r="G67" s="271"/>
    </row>
  </sheetData>
  <autoFilter ref="A3:G67" xr:uid="{599A7BAF-9B09-47DB-9A24-C4E06309D757}"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30A4-1820-49C3-9A37-9EC43ABE7E76}">
  <dimension ref="B2:I58"/>
  <sheetViews>
    <sheetView topLeftCell="B33" zoomScale="115" zoomScaleNormal="115" workbookViewId="0">
      <selection activeCell="E39" sqref="E39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0.5703125" style="62" customWidth="1"/>
    <col min="9" max="9" width="19.42578125" style="62" customWidth="1"/>
    <col min="10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928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76000.320000000007</v>
      </c>
      <c r="F5" s="104">
        <f>E5+'Saldos - 05-2025'!F5</f>
        <v>411241.07999999996</v>
      </c>
    </row>
    <row r="6" spans="2:8" x14ac:dyDescent="0.25">
      <c r="B6" s="401" t="s">
        <v>405</v>
      </c>
      <c r="C6" s="402"/>
      <c r="D6" s="402"/>
      <c r="E6" s="105">
        <v>0</v>
      </c>
      <c r="F6" s="104">
        <f>E6+'Saldos - 05-2025'!F6</f>
        <v>1648620.1</v>
      </c>
    </row>
    <row r="7" spans="2:8" x14ac:dyDescent="0.25">
      <c r="B7" s="401" t="s">
        <v>406</v>
      </c>
      <c r="C7" s="402"/>
      <c r="D7" s="402"/>
      <c r="E7" s="105">
        <v>85135756.700000003</v>
      </c>
      <c r="F7" s="104">
        <f>E7+'Saldos - 05-2025'!F7</f>
        <v>471109178.95999998</v>
      </c>
    </row>
    <row r="8" spans="2:8" x14ac:dyDescent="0.25">
      <c r="B8" s="401" t="s">
        <v>407</v>
      </c>
      <c r="C8" s="402"/>
      <c r="D8" s="402"/>
      <c r="E8" s="105">
        <v>16870013.609999999</v>
      </c>
      <c r="F8" s="104">
        <f>E8+'Saldos - 05-2025'!F8</f>
        <v>94440721.510000005</v>
      </c>
    </row>
    <row r="9" spans="2:8" x14ac:dyDescent="0.25">
      <c r="B9" s="401" t="s">
        <v>408</v>
      </c>
      <c r="C9" s="402"/>
      <c r="D9" s="402"/>
      <c r="E9" s="105">
        <v>1150481.2999999998</v>
      </c>
      <c r="F9" s="104">
        <f>E9+'Saldos - 05-2025'!F9</f>
        <v>10361154.07</v>
      </c>
    </row>
    <row r="10" spans="2:8" x14ac:dyDescent="0.25">
      <c r="B10" s="401" t="s">
        <v>409</v>
      </c>
      <c r="C10" s="402"/>
      <c r="D10" s="402"/>
      <c r="E10" s="105">
        <v>23151.399999999998</v>
      </c>
      <c r="F10" s="104">
        <f>E10+'Saldos - 05-2025'!F10</f>
        <v>184516.4</v>
      </c>
    </row>
    <row r="11" spans="2:8" x14ac:dyDescent="0.25">
      <c r="B11" s="401" t="s">
        <v>410</v>
      </c>
      <c r="C11" s="402"/>
      <c r="D11" s="402"/>
      <c r="E11" s="105">
        <v>409.42</v>
      </c>
      <c r="F11" s="104">
        <f>E11+'Saldos - 05-2025'!F11</f>
        <v>6055.6900000000005</v>
      </c>
    </row>
    <row r="12" spans="2:8" x14ac:dyDescent="0.25">
      <c r="B12" s="403" t="s">
        <v>411</v>
      </c>
      <c r="C12" s="404"/>
      <c r="D12" s="404"/>
      <c r="E12" s="107">
        <v>103.93</v>
      </c>
      <c r="F12" s="108">
        <f>E12+'Saldos - 05-2025'!F12</f>
        <v>534.15000000000009</v>
      </c>
    </row>
    <row r="13" spans="2:8" ht="15.75" thickBot="1" x14ac:dyDescent="0.3">
      <c r="B13" s="405" t="s">
        <v>412</v>
      </c>
      <c r="C13" s="406"/>
      <c r="D13" s="406"/>
      <c r="E13" s="110">
        <v>85179607.279999986</v>
      </c>
      <c r="F13" s="111">
        <f>E13+'Saldos - 05-2025'!F13</f>
        <v>411405307.51999998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188435523.95999998</v>
      </c>
      <c r="F14" s="100">
        <f>SUM(F5:F13)</f>
        <v>989567329.48000002</v>
      </c>
      <c r="H14" s="123"/>
    </row>
    <row r="15" spans="2:8" x14ac:dyDescent="0.25">
      <c r="B15" s="419" t="s">
        <v>414</v>
      </c>
      <c r="C15" s="420"/>
      <c r="D15" s="420"/>
      <c r="E15" s="316">
        <v>-48096.89</v>
      </c>
      <c r="F15" s="317">
        <f>E15+'Saldos - 05-2025'!F15</f>
        <v>-260254.46000000002</v>
      </c>
    </row>
    <row r="16" spans="2:8" x14ac:dyDescent="0.25">
      <c r="B16" s="413" t="s">
        <v>415</v>
      </c>
      <c r="C16" s="414"/>
      <c r="D16" s="414"/>
      <c r="E16" s="318">
        <f>-E12</f>
        <v>-103.93</v>
      </c>
      <c r="F16" s="319">
        <f>E16+'Saldos - 05-2025'!F16</f>
        <v>-534.15000000000009</v>
      </c>
    </row>
    <row r="17" spans="2:8" x14ac:dyDescent="0.25">
      <c r="B17" s="415" t="s">
        <v>439</v>
      </c>
      <c r="C17" s="416"/>
      <c r="D17" s="416"/>
      <c r="E17" s="320">
        <f>-E13</f>
        <v>-85179607.279999986</v>
      </c>
      <c r="F17" s="321">
        <f>E17+'Saldos - 05-2025'!F17</f>
        <v>-411405307.51999998</v>
      </c>
    </row>
    <row r="18" spans="2:8" ht="15.75" thickBot="1" x14ac:dyDescent="0.3">
      <c r="B18" s="417" t="s">
        <v>440</v>
      </c>
      <c r="C18" s="418"/>
      <c r="D18" s="418"/>
      <c r="E18" s="322">
        <v>0</v>
      </c>
      <c r="F18" s="323">
        <f>E18+'Saldos - 05-2025'!F18</f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103207715.86</v>
      </c>
      <c r="F19" s="122">
        <f>SUM(F14:F18)</f>
        <v>577736587.65999997</v>
      </c>
      <c r="G19" s="313" t="s">
        <v>927</v>
      </c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48096.89</v>
      </c>
      <c r="F22" s="130">
        <f>E22+'Saldos - 05-2025'!F22</f>
        <v>260254.45999999996</v>
      </c>
    </row>
    <row r="23" spans="2:8" x14ac:dyDescent="0.25">
      <c r="B23" s="383" t="s">
        <v>442</v>
      </c>
      <c r="C23" s="384"/>
      <c r="D23" s="384"/>
      <c r="E23" s="109">
        <v>0</v>
      </c>
      <c r="F23" s="131">
        <f>E23+'Saldos - 05-2025'!F23</f>
        <v>0</v>
      </c>
    </row>
    <row r="24" spans="2:8" x14ac:dyDescent="0.25">
      <c r="B24" s="385" t="s">
        <v>914</v>
      </c>
      <c r="C24" s="386"/>
      <c r="D24" s="386"/>
      <c r="E24" s="132">
        <v>43201179.060000002</v>
      </c>
      <c r="F24" s="133">
        <f>E24+'Saldos - 05-2025'!F24</f>
        <v>207262511.32999998</v>
      </c>
    </row>
    <row r="25" spans="2:8" x14ac:dyDescent="0.25">
      <c r="B25" s="385" t="s">
        <v>433</v>
      </c>
      <c r="C25" s="386"/>
      <c r="D25" s="386"/>
      <c r="E25" s="132">
        <v>0</v>
      </c>
      <c r="F25" s="133">
        <f>E25+'Saldos - 05-2025'!F25</f>
        <v>34311367.489999995</v>
      </c>
    </row>
    <row r="26" spans="2:8" x14ac:dyDescent="0.25">
      <c r="B26" s="385" t="s">
        <v>447</v>
      </c>
      <c r="C26" s="386"/>
      <c r="D26" s="386"/>
      <c r="E26" s="132">
        <v>0</v>
      </c>
      <c r="F26" s="133">
        <f>E26+'Saldos - 05-2025'!F26</f>
        <v>34175581.810000002</v>
      </c>
    </row>
    <row r="27" spans="2:8" x14ac:dyDescent="0.25">
      <c r="B27" s="385" t="s">
        <v>626</v>
      </c>
      <c r="C27" s="386"/>
      <c r="D27" s="386"/>
      <c r="E27" s="132">
        <v>0</v>
      </c>
      <c r="F27" s="133">
        <f>E27+'Saldos - 05-2025'!F27</f>
        <v>33980887.539999999</v>
      </c>
    </row>
    <row r="28" spans="2:8" x14ac:dyDescent="0.25">
      <c r="B28" s="385" t="s">
        <v>632</v>
      </c>
      <c r="C28" s="386"/>
      <c r="D28" s="386"/>
      <c r="E28" s="132">
        <v>0</v>
      </c>
      <c r="F28" s="133">
        <f>E28+'Saldos - 05-2025'!F28</f>
        <v>35798381.659999996</v>
      </c>
    </row>
    <row r="29" spans="2:8" x14ac:dyDescent="0.25">
      <c r="B29" s="385" t="s">
        <v>915</v>
      </c>
      <c r="C29" s="386"/>
      <c r="D29" s="386"/>
      <c r="E29" s="132">
        <v>0</v>
      </c>
      <c r="F29" s="133">
        <f>E29+'Saldos - 05-2025'!F29</f>
        <v>35751704.669999994</v>
      </c>
    </row>
    <row r="30" spans="2:8" x14ac:dyDescent="0.25">
      <c r="B30" s="385" t="s">
        <v>933</v>
      </c>
      <c r="C30" s="386"/>
      <c r="D30" s="386"/>
      <c r="E30" s="132">
        <v>36411167.659999996</v>
      </c>
      <c r="F30" s="133">
        <f>E30</f>
        <v>36411167.659999996</v>
      </c>
    </row>
    <row r="31" spans="2:8" x14ac:dyDescent="0.25">
      <c r="B31" s="385" t="s">
        <v>929</v>
      </c>
      <c r="C31" s="386"/>
      <c r="D31" s="386"/>
      <c r="E31" s="132"/>
      <c r="F31" s="133">
        <f>E31+'Saldos - 05-2025'!F30</f>
        <v>15697875.6</v>
      </c>
    </row>
    <row r="32" spans="2:8" x14ac:dyDescent="0.25">
      <c r="B32" s="385" t="s">
        <v>934</v>
      </c>
      <c r="C32" s="386"/>
      <c r="D32" s="386"/>
      <c r="E32" s="132">
        <v>31778758.699999996</v>
      </c>
      <c r="F32" s="133">
        <f>E32</f>
        <v>31778758.699999996</v>
      </c>
    </row>
    <row r="33" spans="2:9" x14ac:dyDescent="0.25">
      <c r="B33" s="385" t="s">
        <v>930</v>
      </c>
      <c r="C33" s="386"/>
      <c r="D33" s="386"/>
      <c r="E33" s="132">
        <v>0</v>
      </c>
      <c r="F33" s="133">
        <f>E33+'Saldos - 05-2025'!F31</f>
        <v>164645.69</v>
      </c>
    </row>
    <row r="34" spans="2:9" x14ac:dyDescent="0.25">
      <c r="B34" s="385" t="s">
        <v>931</v>
      </c>
      <c r="C34" s="386"/>
      <c r="D34" s="386"/>
      <c r="E34" s="154"/>
      <c r="F34" s="133">
        <f>E34+'Saldos - 05-2025'!F32</f>
        <v>3671.5799999999995</v>
      </c>
    </row>
    <row r="35" spans="2:9" x14ac:dyDescent="0.25">
      <c r="B35" s="385" t="s">
        <v>932</v>
      </c>
      <c r="C35" s="386"/>
      <c r="D35" s="386"/>
      <c r="E35" s="154">
        <v>10385.469999999999</v>
      </c>
      <c r="F35" s="133">
        <f>E35+'Saldos - 05-2025'!F33</f>
        <v>30444.589999999997</v>
      </c>
    </row>
    <row r="36" spans="2:9" x14ac:dyDescent="0.25">
      <c r="B36" s="387" t="s">
        <v>451</v>
      </c>
      <c r="C36" s="388"/>
      <c r="D36" s="388"/>
      <c r="E36" s="134">
        <v>35.4</v>
      </c>
      <c r="F36" s="135">
        <f>E36+'Saldos - 05-2025'!F34</f>
        <v>7525.91</v>
      </c>
    </row>
    <row r="37" spans="2:9" ht="15.75" thickBot="1" x14ac:dyDescent="0.3">
      <c r="B37" s="389" t="s">
        <v>444</v>
      </c>
      <c r="C37" s="390"/>
      <c r="D37" s="390"/>
      <c r="E37" s="136">
        <v>76985900.780000001</v>
      </c>
      <c r="F37" s="137">
        <f>E37+'Saldos - 05-2025'!F35</f>
        <v>523932550.78999996</v>
      </c>
      <c r="H37" s="123"/>
    </row>
    <row r="38" spans="2:9" ht="15.75" thickBot="1" x14ac:dyDescent="0.3">
      <c r="B38" s="391" t="s">
        <v>418</v>
      </c>
      <c r="C38" s="392"/>
      <c r="D38" s="392"/>
      <c r="E38" s="127">
        <f>SUM(E22:E37)</f>
        <v>188435523.96000001</v>
      </c>
      <c r="F38" s="138">
        <f>SUM(F22:F37)</f>
        <v>989567329.48000002</v>
      </c>
      <c r="G38" s="313" t="s">
        <v>927</v>
      </c>
      <c r="H38" s="123">
        <f>E38-E14</f>
        <v>0</v>
      </c>
      <c r="I38" s="123">
        <f>F38-F14</f>
        <v>0</v>
      </c>
    </row>
    <row r="39" spans="2:9" x14ac:dyDescent="0.25">
      <c r="B39" s="374" t="s">
        <v>419</v>
      </c>
      <c r="C39" s="375"/>
      <c r="D39" s="376"/>
      <c r="E39" s="112">
        <f>-E22</f>
        <v>-48096.89</v>
      </c>
      <c r="F39" s="139">
        <f>E39+'Saldos - 05-2025'!F37</f>
        <v>-260254.45999999996</v>
      </c>
      <c r="H39" s="94"/>
      <c r="I39" s="94"/>
    </row>
    <row r="40" spans="2:9" x14ac:dyDescent="0.25">
      <c r="B40" s="377" t="s">
        <v>420</v>
      </c>
      <c r="C40" s="378"/>
      <c r="D40" s="379"/>
      <c r="E40" s="118">
        <f>-E37</f>
        <v>-76985900.780000001</v>
      </c>
      <c r="F40" s="247">
        <f>E40+'Saldos - 05-2025'!F38</f>
        <v>-523932550.78999996</v>
      </c>
      <c r="I40" s="94"/>
    </row>
    <row r="41" spans="2:9" x14ac:dyDescent="0.25">
      <c r="B41" s="367" t="s">
        <v>920</v>
      </c>
      <c r="C41" s="368"/>
      <c r="D41" s="368"/>
      <c r="E41" s="109">
        <f>-E12</f>
        <v>-103.93</v>
      </c>
      <c r="F41" s="246">
        <f>E41+'Saldos - 05-2025'!F39</f>
        <v>-422.97</v>
      </c>
    </row>
    <row r="42" spans="2:9" x14ac:dyDescent="0.25">
      <c r="B42" s="380" t="s">
        <v>453</v>
      </c>
      <c r="C42" s="381"/>
      <c r="D42" s="382"/>
      <c r="E42" s="134">
        <f>-E36</f>
        <v>-35.4</v>
      </c>
      <c r="F42" s="245">
        <f>E42+'Saldos - 05-2025'!F40</f>
        <v>-7525.91</v>
      </c>
      <c r="H42" s="178"/>
    </row>
    <row r="43" spans="2:9" x14ac:dyDescent="0.25">
      <c r="B43" s="383" t="s">
        <v>423</v>
      </c>
      <c r="C43" s="384"/>
      <c r="D43" s="384"/>
      <c r="E43" s="116"/>
      <c r="F43" s="246">
        <f>E43+'Saldos - 05-2025'!F41</f>
        <v>-69976153.25999999</v>
      </c>
      <c r="H43" s="123"/>
    </row>
    <row r="44" spans="2:9" x14ac:dyDescent="0.25">
      <c r="B44" s="383" t="s">
        <v>455</v>
      </c>
      <c r="C44" s="384"/>
      <c r="D44" s="384"/>
      <c r="E44" s="116"/>
      <c r="F44" s="246">
        <f>E44+'Saldos - 05-2025'!F42</f>
        <v>-164645.69</v>
      </c>
      <c r="H44" s="178"/>
      <c r="I44" s="123"/>
    </row>
    <row r="45" spans="2:9" x14ac:dyDescent="0.25">
      <c r="B45" s="383" t="s">
        <v>458</v>
      </c>
      <c r="C45" s="384"/>
      <c r="D45" s="384"/>
      <c r="E45" s="116">
        <f>-E35</f>
        <v>-10385.469999999999</v>
      </c>
      <c r="F45" s="246">
        <f>E45+'Saldos - 05-2025'!F43</f>
        <v>-30444.589999999997</v>
      </c>
      <c r="H45" s="178"/>
    </row>
    <row r="46" spans="2:9" ht="15.75" customHeight="1" x14ac:dyDescent="0.25">
      <c r="B46" s="367" t="s">
        <v>456</v>
      </c>
      <c r="C46" s="368"/>
      <c r="D46" s="368"/>
      <c r="E46" s="116">
        <f>35765074.17+12169.5</f>
        <v>35777243.670000002</v>
      </c>
      <c r="F46" s="246">
        <f>E46+'Saldos - 05-2025'!F44</f>
        <v>70055265.210000008</v>
      </c>
      <c r="H46" s="123"/>
    </row>
    <row r="47" spans="2:9" ht="15.75" customHeight="1" x14ac:dyDescent="0.25">
      <c r="B47" s="367" t="s">
        <v>921</v>
      </c>
      <c r="C47" s="368"/>
      <c r="D47" s="368"/>
      <c r="E47" s="116"/>
      <c r="F47" s="246">
        <f>E47+'Saldos - 05-2025'!F45</f>
        <v>-667.56</v>
      </c>
    </row>
    <row r="48" spans="2:9" ht="15.75" customHeight="1" x14ac:dyDescent="0.25">
      <c r="B48" s="367" t="s">
        <v>922</v>
      </c>
      <c r="C48" s="368"/>
      <c r="D48" s="368"/>
      <c r="E48" s="116"/>
      <c r="F48" s="246">
        <f>E48+'Saldos - 05-2025'!F46</f>
        <v>667.56</v>
      </c>
      <c r="H48" s="123"/>
    </row>
    <row r="49" spans="2:8" x14ac:dyDescent="0.25">
      <c r="B49" s="367" t="s">
        <v>923</v>
      </c>
      <c r="C49" s="368"/>
      <c r="D49" s="368"/>
      <c r="E49" s="116"/>
      <c r="F49" s="246">
        <f>E49+'Saldos - 05-2025'!F47</f>
        <v>333.78</v>
      </c>
      <c r="H49" s="123"/>
    </row>
    <row r="50" spans="2:8" ht="15.75" thickBot="1" x14ac:dyDescent="0.3">
      <c r="B50" s="369" t="s">
        <v>424</v>
      </c>
      <c r="C50" s="369"/>
      <c r="D50" s="370"/>
      <c r="E50" s="145">
        <f>SUM(E38:E49)</f>
        <v>147168245.16000003</v>
      </c>
      <c r="F50" s="146">
        <f>SUM(F38:F49)</f>
        <v>465250930.79999995</v>
      </c>
      <c r="H50" s="123"/>
    </row>
    <row r="51" spans="2:8" x14ac:dyDescent="0.25">
      <c r="B51" s="124"/>
      <c r="D51" s="125"/>
      <c r="E51" s="147">
        <f>147168245.16-E50</f>
        <v>0</v>
      </c>
      <c r="F51" s="123"/>
      <c r="H51" s="123"/>
    </row>
    <row r="52" spans="2:8" x14ac:dyDescent="0.25">
      <c r="B52" s="371" t="s">
        <v>425</v>
      </c>
      <c r="C52" s="372"/>
      <c r="D52" s="373"/>
      <c r="E52" s="148"/>
      <c r="F52" s="123"/>
    </row>
    <row r="53" spans="2:8" x14ac:dyDescent="0.25">
      <c r="B53" s="364" t="s">
        <v>426</v>
      </c>
      <c r="C53" s="365"/>
      <c r="D53" s="366"/>
      <c r="E53" s="149">
        <v>139910007.13</v>
      </c>
      <c r="F53" s="123"/>
    </row>
    <row r="54" spans="2:8" x14ac:dyDescent="0.25">
      <c r="B54" s="364" t="s">
        <v>427</v>
      </c>
      <c r="C54" s="365"/>
      <c r="D54" s="366"/>
      <c r="E54" s="150">
        <v>76985900.780000001</v>
      </c>
    </row>
    <row r="55" spans="2:8" x14ac:dyDescent="0.25">
      <c r="B55" s="364" t="s">
        <v>428</v>
      </c>
      <c r="C55" s="365"/>
      <c r="D55" s="366"/>
      <c r="E55" s="149">
        <v>85179607.280000001</v>
      </c>
    </row>
    <row r="56" spans="2:8" x14ac:dyDescent="0.25">
      <c r="B56" s="364" t="s">
        <v>429</v>
      </c>
      <c r="C56" s="365"/>
      <c r="D56" s="366"/>
      <c r="E56" s="149">
        <v>972555.2</v>
      </c>
      <c r="F56" s="94"/>
    </row>
    <row r="57" spans="2:8" x14ac:dyDescent="0.25">
      <c r="B57" s="364" t="s">
        <v>430</v>
      </c>
      <c r="C57" s="365"/>
      <c r="D57" s="366"/>
      <c r="E57" s="151">
        <f>E53+E54-E55+E56</f>
        <v>132688855.83</v>
      </c>
      <c r="F57" s="123"/>
    </row>
    <row r="58" spans="2:8" x14ac:dyDescent="0.25">
      <c r="B58" s="152"/>
      <c r="C58" s="93"/>
      <c r="D58" s="93"/>
      <c r="E58" s="153"/>
    </row>
  </sheetData>
  <mergeCells count="52">
    <mergeCell ref="B15:D15"/>
    <mergeCell ref="B2:F2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28:D28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42:D42"/>
    <mergeCell ref="B29:D29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56:D56"/>
    <mergeCell ref="B57:D57"/>
    <mergeCell ref="B30:D30"/>
    <mergeCell ref="B32:D32"/>
    <mergeCell ref="B49:D49"/>
    <mergeCell ref="B50:D50"/>
    <mergeCell ref="B52:D52"/>
    <mergeCell ref="B53:D53"/>
    <mergeCell ref="B54:D54"/>
    <mergeCell ref="B55:D55"/>
    <mergeCell ref="B43:D43"/>
    <mergeCell ref="B44:D44"/>
    <mergeCell ref="B45:D45"/>
    <mergeCell ref="B46:D46"/>
    <mergeCell ref="B47:D47"/>
    <mergeCell ref="B48:D48"/>
  </mergeCells>
  <pageMargins left="0.511811024" right="0.511811024" top="0.78740157499999996" bottom="0.78740157499999996" header="0.31496062000000002" footer="0.31496062000000002"/>
  <pageSetup paperSize="9" orientation="landscape" r:id="rId1"/>
  <ignoredErrors>
    <ignoredError sqref="F31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DF00-0E30-4E96-B1B2-1545603A8C7A}">
  <sheetPr>
    <pageSetUpPr fitToPage="1"/>
  </sheetPr>
  <dimension ref="C2:L35"/>
  <sheetViews>
    <sheetView zoomScale="85" zoomScaleNormal="85" workbookViewId="0">
      <selection activeCell="D26" sqref="D26"/>
    </sheetView>
  </sheetViews>
  <sheetFormatPr defaultRowHeight="15" x14ac:dyDescent="0.25"/>
  <cols>
    <col min="1" max="1" width="1.42578125" style="62" customWidth="1"/>
    <col min="2" max="2" width="1.85546875" style="62" customWidth="1"/>
    <col min="3" max="3" width="59.85546875" style="62" customWidth="1"/>
    <col min="4" max="4" width="18" style="157" bestFit="1" customWidth="1"/>
    <col min="5" max="5" width="14.5703125" style="62" hidden="1" customWidth="1"/>
    <col min="6" max="6" width="0" style="62" hidden="1" customWidth="1"/>
    <col min="7" max="7" width="16.85546875" style="62" hidden="1" customWidth="1"/>
    <col min="8" max="8" width="2.140625" style="62" customWidth="1"/>
    <col min="9" max="9" width="18" style="62" bestFit="1" customWidth="1"/>
    <col min="10" max="10" width="9.140625" style="62"/>
    <col min="11" max="11" width="14.28515625" style="62" bestFit="1" customWidth="1"/>
    <col min="12" max="12" width="20.85546875" style="62" customWidth="1"/>
    <col min="13" max="256" width="9.140625" style="62"/>
    <col min="257" max="257" width="1.42578125" style="62" customWidth="1"/>
    <col min="258" max="258" width="1.85546875" style="62" customWidth="1"/>
    <col min="259" max="259" width="59.85546875" style="62" customWidth="1"/>
    <col min="260" max="260" width="18" style="62" bestFit="1" customWidth="1"/>
    <col min="261" max="263" width="0" style="62" hidden="1" customWidth="1"/>
    <col min="264" max="264" width="2.140625" style="62" customWidth="1"/>
    <col min="265" max="265" width="18" style="62" bestFit="1" customWidth="1"/>
    <col min="266" max="512" width="9.140625" style="62"/>
    <col min="513" max="513" width="1.42578125" style="62" customWidth="1"/>
    <col min="514" max="514" width="1.85546875" style="62" customWidth="1"/>
    <col min="515" max="515" width="59.85546875" style="62" customWidth="1"/>
    <col min="516" max="516" width="18" style="62" bestFit="1" customWidth="1"/>
    <col min="517" max="519" width="0" style="62" hidden="1" customWidth="1"/>
    <col min="520" max="520" width="2.140625" style="62" customWidth="1"/>
    <col min="521" max="521" width="18" style="62" bestFit="1" customWidth="1"/>
    <col min="522" max="768" width="9.140625" style="62"/>
    <col min="769" max="769" width="1.42578125" style="62" customWidth="1"/>
    <col min="770" max="770" width="1.85546875" style="62" customWidth="1"/>
    <col min="771" max="771" width="59.85546875" style="62" customWidth="1"/>
    <col min="772" max="772" width="18" style="62" bestFit="1" customWidth="1"/>
    <col min="773" max="775" width="0" style="62" hidden="1" customWidth="1"/>
    <col min="776" max="776" width="2.140625" style="62" customWidth="1"/>
    <col min="777" max="777" width="18" style="62" bestFit="1" customWidth="1"/>
    <col min="778" max="1024" width="9.140625" style="62"/>
    <col min="1025" max="1025" width="1.42578125" style="62" customWidth="1"/>
    <col min="1026" max="1026" width="1.85546875" style="62" customWidth="1"/>
    <col min="1027" max="1027" width="59.85546875" style="62" customWidth="1"/>
    <col min="1028" max="1028" width="18" style="62" bestFit="1" customWidth="1"/>
    <col min="1029" max="1031" width="0" style="62" hidden="1" customWidth="1"/>
    <col min="1032" max="1032" width="2.140625" style="62" customWidth="1"/>
    <col min="1033" max="1033" width="18" style="62" bestFit="1" customWidth="1"/>
    <col min="1034" max="1280" width="9.140625" style="62"/>
    <col min="1281" max="1281" width="1.42578125" style="62" customWidth="1"/>
    <col min="1282" max="1282" width="1.85546875" style="62" customWidth="1"/>
    <col min="1283" max="1283" width="59.85546875" style="62" customWidth="1"/>
    <col min="1284" max="1284" width="18" style="62" bestFit="1" customWidth="1"/>
    <col min="1285" max="1287" width="0" style="62" hidden="1" customWidth="1"/>
    <col min="1288" max="1288" width="2.140625" style="62" customWidth="1"/>
    <col min="1289" max="1289" width="18" style="62" bestFit="1" customWidth="1"/>
    <col min="1290" max="1536" width="9.140625" style="62"/>
    <col min="1537" max="1537" width="1.42578125" style="62" customWidth="1"/>
    <col min="1538" max="1538" width="1.85546875" style="62" customWidth="1"/>
    <col min="1539" max="1539" width="59.85546875" style="62" customWidth="1"/>
    <col min="1540" max="1540" width="18" style="62" bestFit="1" customWidth="1"/>
    <col min="1541" max="1543" width="0" style="62" hidden="1" customWidth="1"/>
    <col min="1544" max="1544" width="2.140625" style="62" customWidth="1"/>
    <col min="1545" max="1545" width="18" style="62" bestFit="1" customWidth="1"/>
    <col min="1546" max="1792" width="9.140625" style="62"/>
    <col min="1793" max="1793" width="1.42578125" style="62" customWidth="1"/>
    <col min="1794" max="1794" width="1.85546875" style="62" customWidth="1"/>
    <col min="1795" max="1795" width="59.85546875" style="62" customWidth="1"/>
    <col min="1796" max="1796" width="18" style="62" bestFit="1" customWidth="1"/>
    <col min="1797" max="1799" width="0" style="62" hidden="1" customWidth="1"/>
    <col min="1800" max="1800" width="2.140625" style="62" customWidth="1"/>
    <col min="1801" max="1801" width="18" style="62" bestFit="1" customWidth="1"/>
    <col min="1802" max="2048" width="9.140625" style="62"/>
    <col min="2049" max="2049" width="1.42578125" style="62" customWidth="1"/>
    <col min="2050" max="2050" width="1.85546875" style="62" customWidth="1"/>
    <col min="2051" max="2051" width="59.85546875" style="62" customWidth="1"/>
    <col min="2052" max="2052" width="18" style="62" bestFit="1" customWidth="1"/>
    <col min="2053" max="2055" width="0" style="62" hidden="1" customWidth="1"/>
    <col min="2056" max="2056" width="2.140625" style="62" customWidth="1"/>
    <col min="2057" max="2057" width="18" style="62" bestFit="1" customWidth="1"/>
    <col min="2058" max="2304" width="9.140625" style="62"/>
    <col min="2305" max="2305" width="1.42578125" style="62" customWidth="1"/>
    <col min="2306" max="2306" width="1.85546875" style="62" customWidth="1"/>
    <col min="2307" max="2307" width="59.85546875" style="62" customWidth="1"/>
    <col min="2308" max="2308" width="18" style="62" bestFit="1" customWidth="1"/>
    <col min="2309" max="2311" width="0" style="62" hidden="1" customWidth="1"/>
    <col min="2312" max="2312" width="2.140625" style="62" customWidth="1"/>
    <col min="2313" max="2313" width="18" style="62" bestFit="1" customWidth="1"/>
    <col min="2314" max="2560" width="9.140625" style="62"/>
    <col min="2561" max="2561" width="1.42578125" style="62" customWidth="1"/>
    <col min="2562" max="2562" width="1.85546875" style="62" customWidth="1"/>
    <col min="2563" max="2563" width="59.85546875" style="62" customWidth="1"/>
    <col min="2564" max="2564" width="18" style="62" bestFit="1" customWidth="1"/>
    <col min="2565" max="2567" width="0" style="62" hidden="1" customWidth="1"/>
    <col min="2568" max="2568" width="2.140625" style="62" customWidth="1"/>
    <col min="2569" max="2569" width="18" style="62" bestFit="1" customWidth="1"/>
    <col min="2570" max="2816" width="9.140625" style="62"/>
    <col min="2817" max="2817" width="1.42578125" style="62" customWidth="1"/>
    <col min="2818" max="2818" width="1.85546875" style="62" customWidth="1"/>
    <col min="2819" max="2819" width="59.85546875" style="62" customWidth="1"/>
    <col min="2820" max="2820" width="18" style="62" bestFit="1" customWidth="1"/>
    <col min="2821" max="2823" width="0" style="62" hidden="1" customWidth="1"/>
    <col min="2824" max="2824" width="2.140625" style="62" customWidth="1"/>
    <col min="2825" max="2825" width="18" style="62" bestFit="1" customWidth="1"/>
    <col min="2826" max="3072" width="9.140625" style="62"/>
    <col min="3073" max="3073" width="1.42578125" style="62" customWidth="1"/>
    <col min="3074" max="3074" width="1.85546875" style="62" customWidth="1"/>
    <col min="3075" max="3075" width="59.85546875" style="62" customWidth="1"/>
    <col min="3076" max="3076" width="18" style="62" bestFit="1" customWidth="1"/>
    <col min="3077" max="3079" width="0" style="62" hidden="1" customWidth="1"/>
    <col min="3080" max="3080" width="2.140625" style="62" customWidth="1"/>
    <col min="3081" max="3081" width="18" style="62" bestFit="1" customWidth="1"/>
    <col min="3082" max="3328" width="9.140625" style="62"/>
    <col min="3329" max="3329" width="1.42578125" style="62" customWidth="1"/>
    <col min="3330" max="3330" width="1.85546875" style="62" customWidth="1"/>
    <col min="3331" max="3331" width="59.85546875" style="62" customWidth="1"/>
    <col min="3332" max="3332" width="18" style="62" bestFit="1" customWidth="1"/>
    <col min="3333" max="3335" width="0" style="62" hidden="1" customWidth="1"/>
    <col min="3336" max="3336" width="2.140625" style="62" customWidth="1"/>
    <col min="3337" max="3337" width="18" style="62" bestFit="1" customWidth="1"/>
    <col min="3338" max="3584" width="9.140625" style="62"/>
    <col min="3585" max="3585" width="1.42578125" style="62" customWidth="1"/>
    <col min="3586" max="3586" width="1.85546875" style="62" customWidth="1"/>
    <col min="3587" max="3587" width="59.85546875" style="62" customWidth="1"/>
    <col min="3588" max="3588" width="18" style="62" bestFit="1" customWidth="1"/>
    <col min="3589" max="3591" width="0" style="62" hidden="1" customWidth="1"/>
    <col min="3592" max="3592" width="2.140625" style="62" customWidth="1"/>
    <col min="3593" max="3593" width="18" style="62" bestFit="1" customWidth="1"/>
    <col min="3594" max="3840" width="9.140625" style="62"/>
    <col min="3841" max="3841" width="1.42578125" style="62" customWidth="1"/>
    <col min="3842" max="3842" width="1.85546875" style="62" customWidth="1"/>
    <col min="3843" max="3843" width="59.85546875" style="62" customWidth="1"/>
    <col min="3844" max="3844" width="18" style="62" bestFit="1" customWidth="1"/>
    <col min="3845" max="3847" width="0" style="62" hidden="1" customWidth="1"/>
    <col min="3848" max="3848" width="2.140625" style="62" customWidth="1"/>
    <col min="3849" max="3849" width="18" style="62" bestFit="1" customWidth="1"/>
    <col min="3850" max="4096" width="9.140625" style="62"/>
    <col min="4097" max="4097" width="1.42578125" style="62" customWidth="1"/>
    <col min="4098" max="4098" width="1.85546875" style="62" customWidth="1"/>
    <col min="4099" max="4099" width="59.85546875" style="62" customWidth="1"/>
    <col min="4100" max="4100" width="18" style="62" bestFit="1" customWidth="1"/>
    <col min="4101" max="4103" width="0" style="62" hidden="1" customWidth="1"/>
    <col min="4104" max="4104" width="2.140625" style="62" customWidth="1"/>
    <col min="4105" max="4105" width="18" style="62" bestFit="1" customWidth="1"/>
    <col min="4106" max="4352" width="9.140625" style="62"/>
    <col min="4353" max="4353" width="1.42578125" style="62" customWidth="1"/>
    <col min="4354" max="4354" width="1.85546875" style="62" customWidth="1"/>
    <col min="4355" max="4355" width="59.85546875" style="62" customWidth="1"/>
    <col min="4356" max="4356" width="18" style="62" bestFit="1" customWidth="1"/>
    <col min="4357" max="4359" width="0" style="62" hidden="1" customWidth="1"/>
    <col min="4360" max="4360" width="2.140625" style="62" customWidth="1"/>
    <col min="4361" max="4361" width="18" style="62" bestFit="1" customWidth="1"/>
    <col min="4362" max="4608" width="9.140625" style="62"/>
    <col min="4609" max="4609" width="1.42578125" style="62" customWidth="1"/>
    <col min="4610" max="4610" width="1.85546875" style="62" customWidth="1"/>
    <col min="4611" max="4611" width="59.85546875" style="62" customWidth="1"/>
    <col min="4612" max="4612" width="18" style="62" bestFit="1" customWidth="1"/>
    <col min="4613" max="4615" width="0" style="62" hidden="1" customWidth="1"/>
    <col min="4616" max="4616" width="2.140625" style="62" customWidth="1"/>
    <col min="4617" max="4617" width="18" style="62" bestFit="1" customWidth="1"/>
    <col min="4618" max="4864" width="9.140625" style="62"/>
    <col min="4865" max="4865" width="1.42578125" style="62" customWidth="1"/>
    <col min="4866" max="4866" width="1.85546875" style="62" customWidth="1"/>
    <col min="4867" max="4867" width="59.85546875" style="62" customWidth="1"/>
    <col min="4868" max="4868" width="18" style="62" bestFit="1" customWidth="1"/>
    <col min="4869" max="4871" width="0" style="62" hidden="1" customWidth="1"/>
    <col min="4872" max="4872" width="2.140625" style="62" customWidth="1"/>
    <col min="4873" max="4873" width="18" style="62" bestFit="1" customWidth="1"/>
    <col min="4874" max="5120" width="9.140625" style="62"/>
    <col min="5121" max="5121" width="1.42578125" style="62" customWidth="1"/>
    <col min="5122" max="5122" width="1.85546875" style="62" customWidth="1"/>
    <col min="5123" max="5123" width="59.85546875" style="62" customWidth="1"/>
    <col min="5124" max="5124" width="18" style="62" bestFit="1" customWidth="1"/>
    <col min="5125" max="5127" width="0" style="62" hidden="1" customWidth="1"/>
    <col min="5128" max="5128" width="2.140625" style="62" customWidth="1"/>
    <col min="5129" max="5129" width="18" style="62" bestFit="1" customWidth="1"/>
    <col min="5130" max="5376" width="9.140625" style="62"/>
    <col min="5377" max="5377" width="1.42578125" style="62" customWidth="1"/>
    <col min="5378" max="5378" width="1.85546875" style="62" customWidth="1"/>
    <col min="5379" max="5379" width="59.85546875" style="62" customWidth="1"/>
    <col min="5380" max="5380" width="18" style="62" bestFit="1" customWidth="1"/>
    <col min="5381" max="5383" width="0" style="62" hidden="1" customWidth="1"/>
    <col min="5384" max="5384" width="2.140625" style="62" customWidth="1"/>
    <col min="5385" max="5385" width="18" style="62" bestFit="1" customWidth="1"/>
    <col min="5386" max="5632" width="9.140625" style="62"/>
    <col min="5633" max="5633" width="1.42578125" style="62" customWidth="1"/>
    <col min="5634" max="5634" width="1.85546875" style="62" customWidth="1"/>
    <col min="5635" max="5635" width="59.85546875" style="62" customWidth="1"/>
    <col min="5636" max="5636" width="18" style="62" bestFit="1" customWidth="1"/>
    <col min="5637" max="5639" width="0" style="62" hidden="1" customWidth="1"/>
    <col min="5640" max="5640" width="2.140625" style="62" customWidth="1"/>
    <col min="5641" max="5641" width="18" style="62" bestFit="1" customWidth="1"/>
    <col min="5642" max="5888" width="9.140625" style="62"/>
    <col min="5889" max="5889" width="1.42578125" style="62" customWidth="1"/>
    <col min="5890" max="5890" width="1.85546875" style="62" customWidth="1"/>
    <col min="5891" max="5891" width="59.85546875" style="62" customWidth="1"/>
    <col min="5892" max="5892" width="18" style="62" bestFit="1" customWidth="1"/>
    <col min="5893" max="5895" width="0" style="62" hidden="1" customWidth="1"/>
    <col min="5896" max="5896" width="2.140625" style="62" customWidth="1"/>
    <col min="5897" max="5897" width="18" style="62" bestFit="1" customWidth="1"/>
    <col min="5898" max="6144" width="9.140625" style="62"/>
    <col min="6145" max="6145" width="1.42578125" style="62" customWidth="1"/>
    <col min="6146" max="6146" width="1.85546875" style="62" customWidth="1"/>
    <col min="6147" max="6147" width="59.85546875" style="62" customWidth="1"/>
    <col min="6148" max="6148" width="18" style="62" bestFit="1" customWidth="1"/>
    <col min="6149" max="6151" width="0" style="62" hidden="1" customWidth="1"/>
    <col min="6152" max="6152" width="2.140625" style="62" customWidth="1"/>
    <col min="6153" max="6153" width="18" style="62" bestFit="1" customWidth="1"/>
    <col min="6154" max="6400" width="9.140625" style="62"/>
    <col min="6401" max="6401" width="1.42578125" style="62" customWidth="1"/>
    <col min="6402" max="6402" width="1.85546875" style="62" customWidth="1"/>
    <col min="6403" max="6403" width="59.85546875" style="62" customWidth="1"/>
    <col min="6404" max="6404" width="18" style="62" bestFit="1" customWidth="1"/>
    <col min="6405" max="6407" width="0" style="62" hidden="1" customWidth="1"/>
    <col min="6408" max="6408" width="2.140625" style="62" customWidth="1"/>
    <col min="6409" max="6409" width="18" style="62" bestFit="1" customWidth="1"/>
    <col min="6410" max="6656" width="9.140625" style="62"/>
    <col min="6657" max="6657" width="1.42578125" style="62" customWidth="1"/>
    <col min="6658" max="6658" width="1.85546875" style="62" customWidth="1"/>
    <col min="6659" max="6659" width="59.85546875" style="62" customWidth="1"/>
    <col min="6660" max="6660" width="18" style="62" bestFit="1" customWidth="1"/>
    <col min="6661" max="6663" width="0" style="62" hidden="1" customWidth="1"/>
    <col min="6664" max="6664" width="2.140625" style="62" customWidth="1"/>
    <col min="6665" max="6665" width="18" style="62" bestFit="1" customWidth="1"/>
    <col min="6666" max="6912" width="9.140625" style="62"/>
    <col min="6913" max="6913" width="1.42578125" style="62" customWidth="1"/>
    <col min="6914" max="6914" width="1.85546875" style="62" customWidth="1"/>
    <col min="6915" max="6915" width="59.85546875" style="62" customWidth="1"/>
    <col min="6916" max="6916" width="18" style="62" bestFit="1" customWidth="1"/>
    <col min="6917" max="6919" width="0" style="62" hidden="1" customWidth="1"/>
    <col min="6920" max="6920" width="2.140625" style="62" customWidth="1"/>
    <col min="6921" max="6921" width="18" style="62" bestFit="1" customWidth="1"/>
    <col min="6922" max="7168" width="9.140625" style="62"/>
    <col min="7169" max="7169" width="1.42578125" style="62" customWidth="1"/>
    <col min="7170" max="7170" width="1.85546875" style="62" customWidth="1"/>
    <col min="7171" max="7171" width="59.85546875" style="62" customWidth="1"/>
    <col min="7172" max="7172" width="18" style="62" bestFit="1" customWidth="1"/>
    <col min="7173" max="7175" width="0" style="62" hidden="1" customWidth="1"/>
    <col min="7176" max="7176" width="2.140625" style="62" customWidth="1"/>
    <col min="7177" max="7177" width="18" style="62" bestFit="1" customWidth="1"/>
    <col min="7178" max="7424" width="9.140625" style="62"/>
    <col min="7425" max="7425" width="1.42578125" style="62" customWidth="1"/>
    <col min="7426" max="7426" width="1.85546875" style="62" customWidth="1"/>
    <col min="7427" max="7427" width="59.85546875" style="62" customWidth="1"/>
    <col min="7428" max="7428" width="18" style="62" bestFit="1" customWidth="1"/>
    <col min="7429" max="7431" width="0" style="62" hidden="1" customWidth="1"/>
    <col min="7432" max="7432" width="2.140625" style="62" customWidth="1"/>
    <col min="7433" max="7433" width="18" style="62" bestFit="1" customWidth="1"/>
    <col min="7434" max="7680" width="9.140625" style="62"/>
    <col min="7681" max="7681" width="1.42578125" style="62" customWidth="1"/>
    <col min="7682" max="7682" width="1.85546875" style="62" customWidth="1"/>
    <col min="7683" max="7683" width="59.85546875" style="62" customWidth="1"/>
    <col min="7684" max="7684" width="18" style="62" bestFit="1" customWidth="1"/>
    <col min="7685" max="7687" width="0" style="62" hidden="1" customWidth="1"/>
    <col min="7688" max="7688" width="2.140625" style="62" customWidth="1"/>
    <col min="7689" max="7689" width="18" style="62" bestFit="1" customWidth="1"/>
    <col min="7690" max="7936" width="9.140625" style="62"/>
    <col min="7937" max="7937" width="1.42578125" style="62" customWidth="1"/>
    <col min="7938" max="7938" width="1.85546875" style="62" customWidth="1"/>
    <col min="7939" max="7939" width="59.85546875" style="62" customWidth="1"/>
    <col min="7940" max="7940" width="18" style="62" bestFit="1" customWidth="1"/>
    <col min="7941" max="7943" width="0" style="62" hidden="1" customWidth="1"/>
    <col min="7944" max="7944" width="2.140625" style="62" customWidth="1"/>
    <col min="7945" max="7945" width="18" style="62" bestFit="1" customWidth="1"/>
    <col min="7946" max="8192" width="9.140625" style="62"/>
    <col min="8193" max="8193" width="1.42578125" style="62" customWidth="1"/>
    <col min="8194" max="8194" width="1.85546875" style="62" customWidth="1"/>
    <col min="8195" max="8195" width="59.85546875" style="62" customWidth="1"/>
    <col min="8196" max="8196" width="18" style="62" bestFit="1" customWidth="1"/>
    <col min="8197" max="8199" width="0" style="62" hidden="1" customWidth="1"/>
    <col min="8200" max="8200" width="2.140625" style="62" customWidth="1"/>
    <col min="8201" max="8201" width="18" style="62" bestFit="1" customWidth="1"/>
    <col min="8202" max="8448" width="9.140625" style="62"/>
    <col min="8449" max="8449" width="1.42578125" style="62" customWidth="1"/>
    <col min="8450" max="8450" width="1.85546875" style="62" customWidth="1"/>
    <col min="8451" max="8451" width="59.85546875" style="62" customWidth="1"/>
    <col min="8452" max="8452" width="18" style="62" bestFit="1" customWidth="1"/>
    <col min="8453" max="8455" width="0" style="62" hidden="1" customWidth="1"/>
    <col min="8456" max="8456" width="2.140625" style="62" customWidth="1"/>
    <col min="8457" max="8457" width="18" style="62" bestFit="1" customWidth="1"/>
    <col min="8458" max="8704" width="9.140625" style="62"/>
    <col min="8705" max="8705" width="1.42578125" style="62" customWidth="1"/>
    <col min="8706" max="8706" width="1.85546875" style="62" customWidth="1"/>
    <col min="8707" max="8707" width="59.85546875" style="62" customWidth="1"/>
    <col min="8708" max="8708" width="18" style="62" bestFit="1" customWidth="1"/>
    <col min="8709" max="8711" width="0" style="62" hidden="1" customWidth="1"/>
    <col min="8712" max="8712" width="2.140625" style="62" customWidth="1"/>
    <col min="8713" max="8713" width="18" style="62" bestFit="1" customWidth="1"/>
    <col min="8714" max="8960" width="9.140625" style="62"/>
    <col min="8961" max="8961" width="1.42578125" style="62" customWidth="1"/>
    <col min="8962" max="8962" width="1.85546875" style="62" customWidth="1"/>
    <col min="8963" max="8963" width="59.85546875" style="62" customWidth="1"/>
    <col min="8964" max="8964" width="18" style="62" bestFit="1" customWidth="1"/>
    <col min="8965" max="8967" width="0" style="62" hidden="1" customWidth="1"/>
    <col min="8968" max="8968" width="2.140625" style="62" customWidth="1"/>
    <col min="8969" max="8969" width="18" style="62" bestFit="1" customWidth="1"/>
    <col min="8970" max="9216" width="9.140625" style="62"/>
    <col min="9217" max="9217" width="1.42578125" style="62" customWidth="1"/>
    <col min="9218" max="9218" width="1.85546875" style="62" customWidth="1"/>
    <col min="9219" max="9219" width="59.85546875" style="62" customWidth="1"/>
    <col min="9220" max="9220" width="18" style="62" bestFit="1" customWidth="1"/>
    <col min="9221" max="9223" width="0" style="62" hidden="1" customWidth="1"/>
    <col min="9224" max="9224" width="2.140625" style="62" customWidth="1"/>
    <col min="9225" max="9225" width="18" style="62" bestFit="1" customWidth="1"/>
    <col min="9226" max="9472" width="9.140625" style="62"/>
    <col min="9473" max="9473" width="1.42578125" style="62" customWidth="1"/>
    <col min="9474" max="9474" width="1.85546875" style="62" customWidth="1"/>
    <col min="9475" max="9475" width="59.85546875" style="62" customWidth="1"/>
    <col min="9476" max="9476" width="18" style="62" bestFit="1" customWidth="1"/>
    <col min="9477" max="9479" width="0" style="62" hidden="1" customWidth="1"/>
    <col min="9480" max="9480" width="2.140625" style="62" customWidth="1"/>
    <col min="9481" max="9481" width="18" style="62" bestFit="1" customWidth="1"/>
    <col min="9482" max="9728" width="9.140625" style="62"/>
    <col min="9729" max="9729" width="1.42578125" style="62" customWidth="1"/>
    <col min="9730" max="9730" width="1.85546875" style="62" customWidth="1"/>
    <col min="9731" max="9731" width="59.85546875" style="62" customWidth="1"/>
    <col min="9732" max="9732" width="18" style="62" bestFit="1" customWidth="1"/>
    <col min="9733" max="9735" width="0" style="62" hidden="1" customWidth="1"/>
    <col min="9736" max="9736" width="2.140625" style="62" customWidth="1"/>
    <col min="9737" max="9737" width="18" style="62" bestFit="1" customWidth="1"/>
    <col min="9738" max="9984" width="9.140625" style="62"/>
    <col min="9985" max="9985" width="1.42578125" style="62" customWidth="1"/>
    <col min="9986" max="9986" width="1.85546875" style="62" customWidth="1"/>
    <col min="9987" max="9987" width="59.85546875" style="62" customWidth="1"/>
    <col min="9988" max="9988" width="18" style="62" bestFit="1" customWidth="1"/>
    <col min="9989" max="9991" width="0" style="62" hidden="1" customWidth="1"/>
    <col min="9992" max="9992" width="2.140625" style="62" customWidth="1"/>
    <col min="9993" max="9993" width="18" style="62" bestFit="1" customWidth="1"/>
    <col min="9994" max="10240" width="9.140625" style="62"/>
    <col min="10241" max="10241" width="1.42578125" style="62" customWidth="1"/>
    <col min="10242" max="10242" width="1.85546875" style="62" customWidth="1"/>
    <col min="10243" max="10243" width="59.85546875" style="62" customWidth="1"/>
    <col min="10244" max="10244" width="18" style="62" bestFit="1" customWidth="1"/>
    <col min="10245" max="10247" width="0" style="62" hidden="1" customWidth="1"/>
    <col min="10248" max="10248" width="2.140625" style="62" customWidth="1"/>
    <col min="10249" max="10249" width="18" style="62" bestFit="1" customWidth="1"/>
    <col min="10250" max="10496" width="9.140625" style="62"/>
    <col min="10497" max="10497" width="1.42578125" style="62" customWidth="1"/>
    <col min="10498" max="10498" width="1.85546875" style="62" customWidth="1"/>
    <col min="10499" max="10499" width="59.85546875" style="62" customWidth="1"/>
    <col min="10500" max="10500" width="18" style="62" bestFit="1" customWidth="1"/>
    <col min="10501" max="10503" width="0" style="62" hidden="1" customWidth="1"/>
    <col min="10504" max="10504" width="2.140625" style="62" customWidth="1"/>
    <col min="10505" max="10505" width="18" style="62" bestFit="1" customWidth="1"/>
    <col min="10506" max="10752" width="9.140625" style="62"/>
    <col min="10753" max="10753" width="1.42578125" style="62" customWidth="1"/>
    <col min="10754" max="10754" width="1.85546875" style="62" customWidth="1"/>
    <col min="10755" max="10755" width="59.85546875" style="62" customWidth="1"/>
    <col min="10756" max="10756" width="18" style="62" bestFit="1" customWidth="1"/>
    <col min="10757" max="10759" width="0" style="62" hidden="1" customWidth="1"/>
    <col min="10760" max="10760" width="2.140625" style="62" customWidth="1"/>
    <col min="10761" max="10761" width="18" style="62" bestFit="1" customWidth="1"/>
    <col min="10762" max="11008" width="9.140625" style="62"/>
    <col min="11009" max="11009" width="1.42578125" style="62" customWidth="1"/>
    <col min="11010" max="11010" width="1.85546875" style="62" customWidth="1"/>
    <col min="11011" max="11011" width="59.85546875" style="62" customWidth="1"/>
    <col min="11012" max="11012" width="18" style="62" bestFit="1" customWidth="1"/>
    <col min="11013" max="11015" width="0" style="62" hidden="1" customWidth="1"/>
    <col min="11016" max="11016" width="2.140625" style="62" customWidth="1"/>
    <col min="11017" max="11017" width="18" style="62" bestFit="1" customWidth="1"/>
    <col min="11018" max="11264" width="9.140625" style="62"/>
    <col min="11265" max="11265" width="1.42578125" style="62" customWidth="1"/>
    <col min="11266" max="11266" width="1.85546875" style="62" customWidth="1"/>
    <col min="11267" max="11267" width="59.85546875" style="62" customWidth="1"/>
    <col min="11268" max="11268" width="18" style="62" bestFit="1" customWidth="1"/>
    <col min="11269" max="11271" width="0" style="62" hidden="1" customWidth="1"/>
    <col min="11272" max="11272" width="2.140625" style="62" customWidth="1"/>
    <col min="11273" max="11273" width="18" style="62" bestFit="1" customWidth="1"/>
    <col min="11274" max="11520" width="9.140625" style="62"/>
    <col min="11521" max="11521" width="1.42578125" style="62" customWidth="1"/>
    <col min="11522" max="11522" width="1.85546875" style="62" customWidth="1"/>
    <col min="11523" max="11523" width="59.85546875" style="62" customWidth="1"/>
    <col min="11524" max="11524" width="18" style="62" bestFit="1" customWidth="1"/>
    <col min="11525" max="11527" width="0" style="62" hidden="1" customWidth="1"/>
    <col min="11528" max="11528" width="2.140625" style="62" customWidth="1"/>
    <col min="11529" max="11529" width="18" style="62" bestFit="1" customWidth="1"/>
    <col min="11530" max="11776" width="9.140625" style="62"/>
    <col min="11777" max="11777" width="1.42578125" style="62" customWidth="1"/>
    <col min="11778" max="11778" width="1.85546875" style="62" customWidth="1"/>
    <col min="11779" max="11779" width="59.85546875" style="62" customWidth="1"/>
    <col min="11780" max="11780" width="18" style="62" bestFit="1" customWidth="1"/>
    <col min="11781" max="11783" width="0" style="62" hidden="1" customWidth="1"/>
    <col min="11784" max="11784" width="2.140625" style="62" customWidth="1"/>
    <col min="11785" max="11785" width="18" style="62" bestFit="1" customWidth="1"/>
    <col min="11786" max="12032" width="9.140625" style="62"/>
    <col min="12033" max="12033" width="1.42578125" style="62" customWidth="1"/>
    <col min="12034" max="12034" width="1.85546875" style="62" customWidth="1"/>
    <col min="12035" max="12035" width="59.85546875" style="62" customWidth="1"/>
    <col min="12036" max="12036" width="18" style="62" bestFit="1" customWidth="1"/>
    <col min="12037" max="12039" width="0" style="62" hidden="1" customWidth="1"/>
    <col min="12040" max="12040" width="2.140625" style="62" customWidth="1"/>
    <col min="12041" max="12041" width="18" style="62" bestFit="1" customWidth="1"/>
    <col min="12042" max="12288" width="9.140625" style="62"/>
    <col min="12289" max="12289" width="1.42578125" style="62" customWidth="1"/>
    <col min="12290" max="12290" width="1.85546875" style="62" customWidth="1"/>
    <col min="12291" max="12291" width="59.85546875" style="62" customWidth="1"/>
    <col min="12292" max="12292" width="18" style="62" bestFit="1" customWidth="1"/>
    <col min="12293" max="12295" width="0" style="62" hidden="1" customWidth="1"/>
    <col min="12296" max="12296" width="2.140625" style="62" customWidth="1"/>
    <col min="12297" max="12297" width="18" style="62" bestFit="1" customWidth="1"/>
    <col min="12298" max="12544" width="9.140625" style="62"/>
    <col min="12545" max="12545" width="1.42578125" style="62" customWidth="1"/>
    <col min="12546" max="12546" width="1.85546875" style="62" customWidth="1"/>
    <col min="12547" max="12547" width="59.85546875" style="62" customWidth="1"/>
    <col min="12548" max="12548" width="18" style="62" bestFit="1" customWidth="1"/>
    <col min="12549" max="12551" width="0" style="62" hidden="1" customWidth="1"/>
    <col min="12552" max="12552" width="2.140625" style="62" customWidth="1"/>
    <col min="12553" max="12553" width="18" style="62" bestFit="1" customWidth="1"/>
    <col min="12554" max="12800" width="9.140625" style="62"/>
    <col min="12801" max="12801" width="1.42578125" style="62" customWidth="1"/>
    <col min="12802" max="12802" width="1.85546875" style="62" customWidth="1"/>
    <col min="12803" max="12803" width="59.85546875" style="62" customWidth="1"/>
    <col min="12804" max="12804" width="18" style="62" bestFit="1" customWidth="1"/>
    <col min="12805" max="12807" width="0" style="62" hidden="1" customWidth="1"/>
    <col min="12808" max="12808" width="2.140625" style="62" customWidth="1"/>
    <col min="12809" max="12809" width="18" style="62" bestFit="1" customWidth="1"/>
    <col min="12810" max="13056" width="9.140625" style="62"/>
    <col min="13057" max="13057" width="1.42578125" style="62" customWidth="1"/>
    <col min="13058" max="13058" width="1.85546875" style="62" customWidth="1"/>
    <col min="13059" max="13059" width="59.85546875" style="62" customWidth="1"/>
    <col min="13060" max="13060" width="18" style="62" bestFit="1" customWidth="1"/>
    <col min="13061" max="13063" width="0" style="62" hidden="1" customWidth="1"/>
    <col min="13064" max="13064" width="2.140625" style="62" customWidth="1"/>
    <col min="13065" max="13065" width="18" style="62" bestFit="1" customWidth="1"/>
    <col min="13066" max="13312" width="9.140625" style="62"/>
    <col min="13313" max="13313" width="1.42578125" style="62" customWidth="1"/>
    <col min="13314" max="13314" width="1.85546875" style="62" customWidth="1"/>
    <col min="13315" max="13315" width="59.85546875" style="62" customWidth="1"/>
    <col min="13316" max="13316" width="18" style="62" bestFit="1" customWidth="1"/>
    <col min="13317" max="13319" width="0" style="62" hidden="1" customWidth="1"/>
    <col min="13320" max="13320" width="2.140625" style="62" customWidth="1"/>
    <col min="13321" max="13321" width="18" style="62" bestFit="1" customWidth="1"/>
    <col min="13322" max="13568" width="9.140625" style="62"/>
    <col min="13569" max="13569" width="1.42578125" style="62" customWidth="1"/>
    <col min="13570" max="13570" width="1.85546875" style="62" customWidth="1"/>
    <col min="13571" max="13571" width="59.85546875" style="62" customWidth="1"/>
    <col min="13572" max="13572" width="18" style="62" bestFit="1" customWidth="1"/>
    <col min="13573" max="13575" width="0" style="62" hidden="1" customWidth="1"/>
    <col min="13576" max="13576" width="2.140625" style="62" customWidth="1"/>
    <col min="13577" max="13577" width="18" style="62" bestFit="1" customWidth="1"/>
    <col min="13578" max="13824" width="9.140625" style="62"/>
    <col min="13825" max="13825" width="1.42578125" style="62" customWidth="1"/>
    <col min="13826" max="13826" width="1.85546875" style="62" customWidth="1"/>
    <col min="13827" max="13827" width="59.85546875" style="62" customWidth="1"/>
    <col min="13828" max="13828" width="18" style="62" bestFit="1" customWidth="1"/>
    <col min="13829" max="13831" width="0" style="62" hidden="1" customWidth="1"/>
    <col min="13832" max="13832" width="2.140625" style="62" customWidth="1"/>
    <col min="13833" max="13833" width="18" style="62" bestFit="1" customWidth="1"/>
    <col min="13834" max="14080" width="9.140625" style="62"/>
    <col min="14081" max="14081" width="1.42578125" style="62" customWidth="1"/>
    <col min="14082" max="14082" width="1.85546875" style="62" customWidth="1"/>
    <col min="14083" max="14083" width="59.85546875" style="62" customWidth="1"/>
    <col min="14084" max="14084" width="18" style="62" bestFit="1" customWidth="1"/>
    <col min="14085" max="14087" width="0" style="62" hidden="1" customWidth="1"/>
    <col min="14088" max="14088" width="2.140625" style="62" customWidth="1"/>
    <col min="14089" max="14089" width="18" style="62" bestFit="1" customWidth="1"/>
    <col min="14090" max="14336" width="9.140625" style="62"/>
    <col min="14337" max="14337" width="1.42578125" style="62" customWidth="1"/>
    <col min="14338" max="14338" width="1.85546875" style="62" customWidth="1"/>
    <col min="14339" max="14339" width="59.85546875" style="62" customWidth="1"/>
    <col min="14340" max="14340" width="18" style="62" bestFit="1" customWidth="1"/>
    <col min="14341" max="14343" width="0" style="62" hidden="1" customWidth="1"/>
    <col min="14344" max="14344" width="2.140625" style="62" customWidth="1"/>
    <col min="14345" max="14345" width="18" style="62" bestFit="1" customWidth="1"/>
    <col min="14346" max="14592" width="9.140625" style="62"/>
    <col min="14593" max="14593" width="1.42578125" style="62" customWidth="1"/>
    <col min="14594" max="14594" width="1.85546875" style="62" customWidth="1"/>
    <col min="14595" max="14595" width="59.85546875" style="62" customWidth="1"/>
    <col min="14596" max="14596" width="18" style="62" bestFit="1" customWidth="1"/>
    <col min="14597" max="14599" width="0" style="62" hidden="1" customWidth="1"/>
    <col min="14600" max="14600" width="2.140625" style="62" customWidth="1"/>
    <col min="14601" max="14601" width="18" style="62" bestFit="1" customWidth="1"/>
    <col min="14602" max="14848" width="9.140625" style="62"/>
    <col min="14849" max="14849" width="1.42578125" style="62" customWidth="1"/>
    <col min="14850" max="14850" width="1.85546875" style="62" customWidth="1"/>
    <col min="14851" max="14851" width="59.85546875" style="62" customWidth="1"/>
    <col min="14852" max="14852" width="18" style="62" bestFit="1" customWidth="1"/>
    <col min="14853" max="14855" width="0" style="62" hidden="1" customWidth="1"/>
    <col min="14856" max="14856" width="2.140625" style="62" customWidth="1"/>
    <col min="14857" max="14857" width="18" style="62" bestFit="1" customWidth="1"/>
    <col min="14858" max="15104" width="9.140625" style="62"/>
    <col min="15105" max="15105" width="1.42578125" style="62" customWidth="1"/>
    <col min="15106" max="15106" width="1.85546875" style="62" customWidth="1"/>
    <col min="15107" max="15107" width="59.85546875" style="62" customWidth="1"/>
    <col min="15108" max="15108" width="18" style="62" bestFit="1" customWidth="1"/>
    <col min="15109" max="15111" width="0" style="62" hidden="1" customWidth="1"/>
    <col min="15112" max="15112" width="2.140625" style="62" customWidth="1"/>
    <col min="15113" max="15113" width="18" style="62" bestFit="1" customWidth="1"/>
    <col min="15114" max="15360" width="9.140625" style="62"/>
    <col min="15361" max="15361" width="1.42578125" style="62" customWidth="1"/>
    <col min="15362" max="15362" width="1.85546875" style="62" customWidth="1"/>
    <col min="15363" max="15363" width="59.85546875" style="62" customWidth="1"/>
    <col min="15364" max="15364" width="18" style="62" bestFit="1" customWidth="1"/>
    <col min="15365" max="15367" width="0" style="62" hidden="1" customWidth="1"/>
    <col min="15368" max="15368" width="2.140625" style="62" customWidth="1"/>
    <col min="15369" max="15369" width="18" style="62" bestFit="1" customWidth="1"/>
    <col min="15370" max="15616" width="9.140625" style="62"/>
    <col min="15617" max="15617" width="1.42578125" style="62" customWidth="1"/>
    <col min="15618" max="15618" width="1.85546875" style="62" customWidth="1"/>
    <col min="15619" max="15619" width="59.85546875" style="62" customWidth="1"/>
    <col min="15620" max="15620" width="18" style="62" bestFit="1" customWidth="1"/>
    <col min="15621" max="15623" width="0" style="62" hidden="1" customWidth="1"/>
    <col min="15624" max="15624" width="2.140625" style="62" customWidth="1"/>
    <col min="15625" max="15625" width="18" style="62" bestFit="1" customWidth="1"/>
    <col min="15626" max="15872" width="9.140625" style="62"/>
    <col min="15873" max="15873" width="1.42578125" style="62" customWidth="1"/>
    <col min="15874" max="15874" width="1.85546875" style="62" customWidth="1"/>
    <col min="15875" max="15875" width="59.85546875" style="62" customWidth="1"/>
    <col min="15876" max="15876" width="18" style="62" bestFit="1" customWidth="1"/>
    <col min="15877" max="15879" width="0" style="62" hidden="1" customWidth="1"/>
    <col min="15880" max="15880" width="2.140625" style="62" customWidth="1"/>
    <col min="15881" max="15881" width="18" style="62" bestFit="1" customWidth="1"/>
    <col min="15882" max="16128" width="9.140625" style="62"/>
    <col min="16129" max="16129" width="1.42578125" style="62" customWidth="1"/>
    <col min="16130" max="16130" width="1.85546875" style="62" customWidth="1"/>
    <col min="16131" max="16131" width="59.85546875" style="62" customWidth="1"/>
    <col min="16132" max="16132" width="18" style="62" bestFit="1" customWidth="1"/>
    <col min="16133" max="16135" width="0" style="62" hidden="1" customWidth="1"/>
    <col min="16136" max="16136" width="2.140625" style="62" customWidth="1"/>
    <col min="16137" max="16137" width="18" style="62" bestFit="1" customWidth="1"/>
    <col min="16138" max="16384" width="9.140625" style="62"/>
  </cols>
  <sheetData>
    <row r="2" spans="3:12" hidden="1" x14ac:dyDescent="0.25"/>
    <row r="3" spans="3:12" hidden="1" x14ac:dyDescent="0.25">
      <c r="C3" s="158" t="s">
        <v>459</v>
      </c>
      <c r="D3" s="159">
        <f>SUM(D5:D9)</f>
        <v>146044090.48999998</v>
      </c>
      <c r="E3" s="157">
        <f>D3-'[1]Demonst Exec Financ Conciliado'!$J$89</f>
        <v>11470.639999955893</v>
      </c>
    </row>
    <row r="4" spans="3:12" hidden="1" x14ac:dyDescent="0.25"/>
    <row r="5" spans="3:12" hidden="1" x14ac:dyDescent="0.25">
      <c r="C5" s="102" t="s">
        <v>240</v>
      </c>
      <c r="D5" s="160">
        <f>[2]Janeiro!G1</f>
        <v>58285283.730000004</v>
      </c>
    </row>
    <row r="6" spans="3:12" hidden="1" x14ac:dyDescent="0.25">
      <c r="C6" s="102" t="s">
        <v>460</v>
      </c>
      <c r="D6" s="160">
        <v>8949.4699999913591</v>
      </c>
      <c r="G6" s="160">
        <f>D6+D5</f>
        <v>58294233.199999996</v>
      </c>
    </row>
    <row r="7" spans="3:12" hidden="1" x14ac:dyDescent="0.25">
      <c r="C7" s="62" t="s">
        <v>237</v>
      </c>
      <c r="D7" s="157">
        <f>[2]Fevereiro!G1</f>
        <v>88938685.99000001</v>
      </c>
    </row>
    <row r="8" spans="3:12" hidden="1" x14ac:dyDescent="0.25">
      <c r="C8" s="62" t="s">
        <v>461</v>
      </c>
      <c r="D8" s="157">
        <v>-1194723.55</v>
      </c>
      <c r="E8" s="62" t="s">
        <v>462</v>
      </c>
    </row>
    <row r="9" spans="3:12" hidden="1" x14ac:dyDescent="0.25">
      <c r="C9" s="62" t="s">
        <v>460</v>
      </c>
      <c r="D9" s="157">
        <v>5894.8500000014901</v>
      </c>
      <c r="G9" s="157">
        <f>SUM(D7:D9)</f>
        <v>87749857.290000021</v>
      </c>
    </row>
    <row r="11" spans="3:12" x14ac:dyDescent="0.25">
      <c r="C11" s="410" t="s">
        <v>463</v>
      </c>
      <c r="D11" s="410"/>
    </row>
    <row r="12" spans="3:12" x14ac:dyDescent="0.25">
      <c r="C12" s="410" t="s">
        <v>937</v>
      </c>
      <c r="D12" s="410"/>
    </row>
    <row r="14" spans="3:12" x14ac:dyDescent="0.25">
      <c r="C14" s="102" t="s">
        <v>478</v>
      </c>
      <c r="D14" s="160">
        <v>15778860.4</v>
      </c>
      <c r="I14" s="176"/>
    </row>
    <row r="15" spans="3:12" x14ac:dyDescent="0.25">
      <c r="C15" s="102" t="s">
        <v>1209</v>
      </c>
      <c r="D15" s="160">
        <v>92936040.440000027</v>
      </c>
      <c r="I15" s="157"/>
      <c r="K15" s="177"/>
      <c r="L15" s="176"/>
    </row>
    <row r="16" spans="3:12" x14ac:dyDescent="0.25">
      <c r="C16" s="102" t="s">
        <v>1210</v>
      </c>
      <c r="D16" s="160">
        <v>111528900.12</v>
      </c>
      <c r="I16" s="157">
        <f>D16+D15</f>
        <v>204464940.56000003</v>
      </c>
      <c r="K16" s="177"/>
      <c r="L16" s="178"/>
    </row>
    <row r="17" spans="3:12" x14ac:dyDescent="0.25">
      <c r="C17" s="244" t="s">
        <v>1211</v>
      </c>
      <c r="D17" s="160">
        <v>83756927.789999992</v>
      </c>
      <c r="I17" s="157"/>
      <c r="K17" s="177"/>
      <c r="L17" s="178"/>
    </row>
    <row r="18" spans="3:12" x14ac:dyDescent="0.25">
      <c r="C18" s="244" t="s">
        <v>1212</v>
      </c>
      <c r="D18" s="160">
        <v>82197614.719999984</v>
      </c>
      <c r="I18" s="157">
        <f>D18+D17+D16+D15</f>
        <v>370419483.07000005</v>
      </c>
      <c r="K18" s="177"/>
      <c r="L18" s="178"/>
    </row>
    <row r="19" spans="3:12" x14ac:dyDescent="0.25">
      <c r="C19" s="324" t="s">
        <v>1213</v>
      </c>
      <c r="D19" s="160">
        <f>'Saldos - 05-2025'!E19</f>
        <v>104109388.73000002</v>
      </c>
      <c r="I19" s="157"/>
      <c r="K19" s="177"/>
      <c r="L19" s="178"/>
    </row>
    <row r="20" spans="3:12" x14ac:dyDescent="0.25">
      <c r="C20" s="324" t="s">
        <v>1214</v>
      </c>
      <c r="D20" s="160">
        <f>'Saldos - 06-2025'!E19</f>
        <v>103207715.86</v>
      </c>
      <c r="I20" s="157">
        <f>D18+D17+D16+D15+D19+D20</f>
        <v>577736587.66000009</v>
      </c>
      <c r="K20" s="177"/>
      <c r="L20" s="178"/>
    </row>
    <row r="21" spans="3:12" x14ac:dyDescent="0.25">
      <c r="C21" s="102" t="s">
        <v>466</v>
      </c>
      <c r="D21" s="160">
        <v>901662.73</v>
      </c>
      <c r="I21" s="157"/>
    </row>
    <row r="22" spans="3:12" x14ac:dyDescent="0.25">
      <c r="C22" s="244" t="s">
        <v>634</v>
      </c>
      <c r="D22" s="160">
        <v>1438396.9300000002</v>
      </c>
      <c r="I22" s="157"/>
    </row>
    <row r="23" spans="3:12" x14ac:dyDescent="0.25">
      <c r="C23" s="324" t="s">
        <v>935</v>
      </c>
      <c r="D23" s="160">
        <v>2042692.51</v>
      </c>
      <c r="I23" s="157">
        <f>D23+D22+D21</f>
        <v>4382752.17</v>
      </c>
    </row>
    <row r="24" spans="3:12" x14ac:dyDescent="0.25">
      <c r="C24" s="102" t="s">
        <v>467</v>
      </c>
      <c r="D24" s="160">
        <v>-465250930.80000001</v>
      </c>
      <c r="L24" s="178"/>
    </row>
    <row r="25" spans="3:12" x14ac:dyDescent="0.25">
      <c r="C25" s="117" t="s">
        <v>468</v>
      </c>
      <c r="D25" s="174">
        <f>-'Saldos - 04-2025'!F33</f>
        <v>-7490.51</v>
      </c>
      <c r="I25" s="92">
        <f>D25+D28</f>
        <v>-37935.1</v>
      </c>
    </row>
    <row r="26" spans="3:12" x14ac:dyDescent="0.25">
      <c r="C26" s="314" t="s">
        <v>637</v>
      </c>
      <c r="D26" s="174">
        <v>79521.490000000005</v>
      </c>
      <c r="I26" s="94"/>
      <c r="K26" s="94"/>
      <c r="L26" s="178"/>
    </row>
    <row r="27" spans="3:12" x14ac:dyDescent="0.25">
      <c r="C27" s="314" t="s">
        <v>926</v>
      </c>
      <c r="D27" s="174"/>
      <c r="L27" s="178"/>
    </row>
    <row r="28" spans="3:12" x14ac:dyDescent="0.25">
      <c r="C28" s="117" t="s">
        <v>481</v>
      </c>
      <c r="D28" s="174">
        <f>'Saldos - 06-2025'!F45</f>
        <v>-30444.589999999997</v>
      </c>
      <c r="I28" s="157"/>
    </row>
    <row r="31" spans="3:12" x14ac:dyDescent="0.25">
      <c r="C31" s="161" t="s">
        <v>470</v>
      </c>
      <c r="D31" s="162">
        <f>SUM(D14:D30)</f>
        <v>132688855.81999987</v>
      </c>
      <c r="I31" s="157"/>
    </row>
    <row r="33" spans="3:8" x14ac:dyDescent="0.25">
      <c r="C33" s="161" t="s">
        <v>936</v>
      </c>
      <c r="D33" s="162">
        <f>'Saldos - 06-2025'!E57</f>
        <v>132688855.83</v>
      </c>
    </row>
    <row r="35" spans="3:8" x14ac:dyDescent="0.25">
      <c r="C35" s="163" t="s">
        <v>471</v>
      </c>
      <c r="D35" s="164">
        <f>D31-D33</f>
        <v>-1.0000124573707581E-2</v>
      </c>
      <c r="H35" s="157"/>
    </row>
  </sheetData>
  <mergeCells count="2">
    <mergeCell ref="C11:D11"/>
    <mergeCell ref="C12:D12"/>
  </mergeCells>
  <pageMargins left="0.511811024" right="0.511811024" top="0.78740157499999996" bottom="0.78740157499999996" header="0.31496062000000002" footer="0.31496062000000002"/>
  <pageSetup paperSize="9" scale="91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938D-18A6-4F26-AA38-F064E79E032C}">
  <dimension ref="A2:I105"/>
  <sheetViews>
    <sheetView zoomScale="115" zoomScaleNormal="115" workbookViewId="0">
      <selection activeCell="D110" sqref="D110"/>
    </sheetView>
  </sheetViews>
  <sheetFormatPr defaultRowHeight="11.25" x14ac:dyDescent="0.2"/>
  <cols>
    <col min="1" max="1" width="10.28515625" style="224" customWidth="1"/>
    <col min="2" max="2" width="11.5703125" style="224" customWidth="1"/>
    <col min="3" max="3" width="11.140625" style="224" customWidth="1"/>
    <col min="4" max="4" width="13.140625" style="224" customWidth="1"/>
    <col min="5" max="5" width="17" style="224" customWidth="1"/>
    <col min="6" max="6" width="58.85546875" style="249" bestFit="1" customWidth="1"/>
    <col min="7" max="7" width="12.42578125" style="224" customWidth="1"/>
    <col min="8" max="8" width="11.85546875" style="224" customWidth="1"/>
    <col min="9" max="9" width="10" style="224" customWidth="1"/>
    <col min="10" max="256" width="9.140625" style="224"/>
    <col min="257" max="257" width="10.28515625" style="224" customWidth="1"/>
    <col min="258" max="258" width="11.5703125" style="224" customWidth="1"/>
    <col min="259" max="259" width="11.140625" style="224" customWidth="1"/>
    <col min="260" max="260" width="13.140625" style="224" customWidth="1"/>
    <col min="261" max="261" width="17" style="224" customWidth="1"/>
    <col min="262" max="262" width="56.42578125" style="224" customWidth="1"/>
    <col min="263" max="263" width="10.5703125" style="224" customWidth="1"/>
    <col min="264" max="264" width="11.85546875" style="224" customWidth="1"/>
    <col min="265" max="265" width="10" style="224" customWidth="1"/>
    <col min="266" max="512" width="9.140625" style="224"/>
    <col min="513" max="513" width="10.28515625" style="224" customWidth="1"/>
    <col min="514" max="514" width="11.5703125" style="224" customWidth="1"/>
    <col min="515" max="515" width="11.140625" style="224" customWidth="1"/>
    <col min="516" max="516" width="13.140625" style="224" customWidth="1"/>
    <col min="517" max="517" width="17" style="224" customWidth="1"/>
    <col min="518" max="518" width="56.42578125" style="224" customWidth="1"/>
    <col min="519" max="519" width="10.5703125" style="224" customWidth="1"/>
    <col min="520" max="520" width="11.85546875" style="224" customWidth="1"/>
    <col min="521" max="521" width="10" style="224" customWidth="1"/>
    <col min="522" max="768" width="9.140625" style="224"/>
    <col min="769" max="769" width="10.28515625" style="224" customWidth="1"/>
    <col min="770" max="770" width="11.5703125" style="224" customWidth="1"/>
    <col min="771" max="771" width="11.140625" style="224" customWidth="1"/>
    <col min="772" max="772" width="13.140625" style="224" customWidth="1"/>
    <col min="773" max="773" width="17" style="224" customWidth="1"/>
    <col min="774" max="774" width="56.42578125" style="224" customWidth="1"/>
    <col min="775" max="775" width="10.5703125" style="224" customWidth="1"/>
    <col min="776" max="776" width="11.85546875" style="224" customWidth="1"/>
    <col min="777" max="777" width="10" style="224" customWidth="1"/>
    <col min="778" max="1024" width="9.140625" style="224"/>
    <col min="1025" max="1025" width="10.28515625" style="224" customWidth="1"/>
    <col min="1026" max="1026" width="11.5703125" style="224" customWidth="1"/>
    <col min="1027" max="1027" width="11.140625" style="224" customWidth="1"/>
    <col min="1028" max="1028" width="13.140625" style="224" customWidth="1"/>
    <col min="1029" max="1029" width="17" style="224" customWidth="1"/>
    <col min="1030" max="1030" width="56.42578125" style="224" customWidth="1"/>
    <col min="1031" max="1031" width="10.5703125" style="224" customWidth="1"/>
    <col min="1032" max="1032" width="11.85546875" style="224" customWidth="1"/>
    <col min="1033" max="1033" width="10" style="224" customWidth="1"/>
    <col min="1034" max="1280" width="9.140625" style="224"/>
    <col min="1281" max="1281" width="10.28515625" style="224" customWidth="1"/>
    <col min="1282" max="1282" width="11.5703125" style="224" customWidth="1"/>
    <col min="1283" max="1283" width="11.140625" style="224" customWidth="1"/>
    <col min="1284" max="1284" width="13.140625" style="224" customWidth="1"/>
    <col min="1285" max="1285" width="17" style="224" customWidth="1"/>
    <col min="1286" max="1286" width="56.42578125" style="224" customWidth="1"/>
    <col min="1287" max="1287" width="10.5703125" style="224" customWidth="1"/>
    <col min="1288" max="1288" width="11.85546875" style="224" customWidth="1"/>
    <col min="1289" max="1289" width="10" style="224" customWidth="1"/>
    <col min="1290" max="1536" width="9.140625" style="224"/>
    <col min="1537" max="1537" width="10.28515625" style="224" customWidth="1"/>
    <col min="1538" max="1538" width="11.5703125" style="224" customWidth="1"/>
    <col min="1539" max="1539" width="11.140625" style="224" customWidth="1"/>
    <col min="1540" max="1540" width="13.140625" style="224" customWidth="1"/>
    <col min="1541" max="1541" width="17" style="224" customWidth="1"/>
    <col min="1542" max="1542" width="56.42578125" style="224" customWidth="1"/>
    <col min="1543" max="1543" width="10.5703125" style="224" customWidth="1"/>
    <col min="1544" max="1544" width="11.85546875" style="224" customWidth="1"/>
    <col min="1545" max="1545" width="10" style="224" customWidth="1"/>
    <col min="1546" max="1792" width="9.140625" style="224"/>
    <col min="1793" max="1793" width="10.28515625" style="224" customWidth="1"/>
    <col min="1794" max="1794" width="11.5703125" style="224" customWidth="1"/>
    <col min="1795" max="1795" width="11.140625" style="224" customWidth="1"/>
    <col min="1796" max="1796" width="13.140625" style="224" customWidth="1"/>
    <col min="1797" max="1797" width="17" style="224" customWidth="1"/>
    <col min="1798" max="1798" width="56.42578125" style="224" customWidth="1"/>
    <col min="1799" max="1799" width="10.5703125" style="224" customWidth="1"/>
    <col min="1800" max="1800" width="11.85546875" style="224" customWidth="1"/>
    <col min="1801" max="1801" width="10" style="224" customWidth="1"/>
    <col min="1802" max="2048" width="9.140625" style="224"/>
    <col min="2049" max="2049" width="10.28515625" style="224" customWidth="1"/>
    <col min="2050" max="2050" width="11.5703125" style="224" customWidth="1"/>
    <col min="2051" max="2051" width="11.140625" style="224" customWidth="1"/>
    <col min="2052" max="2052" width="13.140625" style="224" customWidth="1"/>
    <col min="2053" max="2053" width="17" style="224" customWidth="1"/>
    <col min="2054" max="2054" width="56.42578125" style="224" customWidth="1"/>
    <col min="2055" max="2055" width="10.5703125" style="224" customWidth="1"/>
    <col min="2056" max="2056" width="11.85546875" style="224" customWidth="1"/>
    <col min="2057" max="2057" width="10" style="224" customWidth="1"/>
    <col min="2058" max="2304" width="9.140625" style="224"/>
    <col min="2305" max="2305" width="10.28515625" style="224" customWidth="1"/>
    <col min="2306" max="2306" width="11.5703125" style="224" customWidth="1"/>
    <col min="2307" max="2307" width="11.140625" style="224" customWidth="1"/>
    <col min="2308" max="2308" width="13.140625" style="224" customWidth="1"/>
    <col min="2309" max="2309" width="17" style="224" customWidth="1"/>
    <col min="2310" max="2310" width="56.42578125" style="224" customWidth="1"/>
    <col min="2311" max="2311" width="10.5703125" style="224" customWidth="1"/>
    <col min="2312" max="2312" width="11.85546875" style="224" customWidth="1"/>
    <col min="2313" max="2313" width="10" style="224" customWidth="1"/>
    <col min="2314" max="2560" width="9.140625" style="224"/>
    <col min="2561" max="2561" width="10.28515625" style="224" customWidth="1"/>
    <col min="2562" max="2562" width="11.5703125" style="224" customWidth="1"/>
    <col min="2563" max="2563" width="11.140625" style="224" customWidth="1"/>
    <col min="2564" max="2564" width="13.140625" style="224" customWidth="1"/>
    <col min="2565" max="2565" width="17" style="224" customWidth="1"/>
    <col min="2566" max="2566" width="56.42578125" style="224" customWidth="1"/>
    <col min="2567" max="2567" width="10.5703125" style="224" customWidth="1"/>
    <col min="2568" max="2568" width="11.85546875" style="224" customWidth="1"/>
    <col min="2569" max="2569" width="10" style="224" customWidth="1"/>
    <col min="2570" max="2816" width="9.140625" style="224"/>
    <col min="2817" max="2817" width="10.28515625" style="224" customWidth="1"/>
    <col min="2818" max="2818" width="11.5703125" style="224" customWidth="1"/>
    <col min="2819" max="2819" width="11.140625" style="224" customWidth="1"/>
    <col min="2820" max="2820" width="13.140625" style="224" customWidth="1"/>
    <col min="2821" max="2821" width="17" style="224" customWidth="1"/>
    <col min="2822" max="2822" width="56.42578125" style="224" customWidth="1"/>
    <col min="2823" max="2823" width="10.5703125" style="224" customWidth="1"/>
    <col min="2824" max="2824" width="11.85546875" style="224" customWidth="1"/>
    <col min="2825" max="2825" width="10" style="224" customWidth="1"/>
    <col min="2826" max="3072" width="9.140625" style="224"/>
    <col min="3073" max="3073" width="10.28515625" style="224" customWidth="1"/>
    <col min="3074" max="3074" width="11.5703125" style="224" customWidth="1"/>
    <col min="3075" max="3075" width="11.140625" style="224" customWidth="1"/>
    <col min="3076" max="3076" width="13.140625" style="224" customWidth="1"/>
    <col min="3077" max="3077" width="17" style="224" customWidth="1"/>
    <col min="3078" max="3078" width="56.42578125" style="224" customWidth="1"/>
    <col min="3079" max="3079" width="10.5703125" style="224" customWidth="1"/>
    <col min="3080" max="3080" width="11.85546875" style="224" customWidth="1"/>
    <col min="3081" max="3081" width="10" style="224" customWidth="1"/>
    <col min="3082" max="3328" width="9.140625" style="224"/>
    <col min="3329" max="3329" width="10.28515625" style="224" customWidth="1"/>
    <col min="3330" max="3330" width="11.5703125" style="224" customWidth="1"/>
    <col min="3331" max="3331" width="11.140625" style="224" customWidth="1"/>
    <col min="3332" max="3332" width="13.140625" style="224" customWidth="1"/>
    <col min="3333" max="3333" width="17" style="224" customWidth="1"/>
    <col min="3334" max="3334" width="56.42578125" style="224" customWidth="1"/>
    <col min="3335" max="3335" width="10.5703125" style="224" customWidth="1"/>
    <col min="3336" max="3336" width="11.85546875" style="224" customWidth="1"/>
    <col min="3337" max="3337" width="10" style="224" customWidth="1"/>
    <col min="3338" max="3584" width="9.140625" style="224"/>
    <col min="3585" max="3585" width="10.28515625" style="224" customWidth="1"/>
    <col min="3586" max="3586" width="11.5703125" style="224" customWidth="1"/>
    <col min="3587" max="3587" width="11.140625" style="224" customWidth="1"/>
    <col min="3588" max="3588" width="13.140625" style="224" customWidth="1"/>
    <col min="3589" max="3589" width="17" style="224" customWidth="1"/>
    <col min="3590" max="3590" width="56.42578125" style="224" customWidth="1"/>
    <col min="3591" max="3591" width="10.5703125" style="224" customWidth="1"/>
    <col min="3592" max="3592" width="11.85546875" style="224" customWidth="1"/>
    <col min="3593" max="3593" width="10" style="224" customWidth="1"/>
    <col min="3594" max="3840" width="9.140625" style="224"/>
    <col min="3841" max="3841" width="10.28515625" style="224" customWidth="1"/>
    <col min="3842" max="3842" width="11.5703125" style="224" customWidth="1"/>
    <col min="3843" max="3843" width="11.140625" style="224" customWidth="1"/>
    <col min="3844" max="3844" width="13.140625" style="224" customWidth="1"/>
    <col min="3845" max="3845" width="17" style="224" customWidth="1"/>
    <col min="3846" max="3846" width="56.42578125" style="224" customWidth="1"/>
    <col min="3847" max="3847" width="10.5703125" style="224" customWidth="1"/>
    <col min="3848" max="3848" width="11.85546875" style="224" customWidth="1"/>
    <col min="3849" max="3849" width="10" style="224" customWidth="1"/>
    <col min="3850" max="4096" width="9.140625" style="224"/>
    <col min="4097" max="4097" width="10.28515625" style="224" customWidth="1"/>
    <col min="4098" max="4098" width="11.5703125" style="224" customWidth="1"/>
    <col min="4099" max="4099" width="11.140625" style="224" customWidth="1"/>
    <col min="4100" max="4100" width="13.140625" style="224" customWidth="1"/>
    <col min="4101" max="4101" width="17" style="224" customWidth="1"/>
    <col min="4102" max="4102" width="56.42578125" style="224" customWidth="1"/>
    <col min="4103" max="4103" width="10.5703125" style="224" customWidth="1"/>
    <col min="4104" max="4104" width="11.85546875" style="224" customWidth="1"/>
    <col min="4105" max="4105" width="10" style="224" customWidth="1"/>
    <col min="4106" max="4352" width="9.140625" style="224"/>
    <col min="4353" max="4353" width="10.28515625" style="224" customWidth="1"/>
    <col min="4354" max="4354" width="11.5703125" style="224" customWidth="1"/>
    <col min="4355" max="4355" width="11.140625" style="224" customWidth="1"/>
    <col min="4356" max="4356" width="13.140625" style="224" customWidth="1"/>
    <col min="4357" max="4357" width="17" style="224" customWidth="1"/>
    <col min="4358" max="4358" width="56.42578125" style="224" customWidth="1"/>
    <col min="4359" max="4359" width="10.5703125" style="224" customWidth="1"/>
    <col min="4360" max="4360" width="11.85546875" style="224" customWidth="1"/>
    <col min="4361" max="4361" width="10" style="224" customWidth="1"/>
    <col min="4362" max="4608" width="9.140625" style="224"/>
    <col min="4609" max="4609" width="10.28515625" style="224" customWidth="1"/>
    <col min="4610" max="4610" width="11.5703125" style="224" customWidth="1"/>
    <col min="4611" max="4611" width="11.140625" style="224" customWidth="1"/>
    <col min="4612" max="4612" width="13.140625" style="224" customWidth="1"/>
    <col min="4613" max="4613" width="17" style="224" customWidth="1"/>
    <col min="4614" max="4614" width="56.42578125" style="224" customWidth="1"/>
    <col min="4615" max="4615" width="10.5703125" style="224" customWidth="1"/>
    <col min="4616" max="4616" width="11.85546875" style="224" customWidth="1"/>
    <col min="4617" max="4617" width="10" style="224" customWidth="1"/>
    <col min="4618" max="4864" width="9.140625" style="224"/>
    <col min="4865" max="4865" width="10.28515625" style="224" customWidth="1"/>
    <col min="4866" max="4866" width="11.5703125" style="224" customWidth="1"/>
    <col min="4867" max="4867" width="11.140625" style="224" customWidth="1"/>
    <col min="4868" max="4868" width="13.140625" style="224" customWidth="1"/>
    <col min="4869" max="4869" width="17" style="224" customWidth="1"/>
    <col min="4870" max="4870" width="56.42578125" style="224" customWidth="1"/>
    <col min="4871" max="4871" width="10.5703125" style="224" customWidth="1"/>
    <col min="4872" max="4872" width="11.85546875" style="224" customWidth="1"/>
    <col min="4873" max="4873" width="10" style="224" customWidth="1"/>
    <col min="4874" max="5120" width="9.140625" style="224"/>
    <col min="5121" max="5121" width="10.28515625" style="224" customWidth="1"/>
    <col min="5122" max="5122" width="11.5703125" style="224" customWidth="1"/>
    <col min="5123" max="5123" width="11.140625" style="224" customWidth="1"/>
    <col min="5124" max="5124" width="13.140625" style="224" customWidth="1"/>
    <col min="5125" max="5125" width="17" style="224" customWidth="1"/>
    <col min="5126" max="5126" width="56.42578125" style="224" customWidth="1"/>
    <col min="5127" max="5127" width="10.5703125" style="224" customWidth="1"/>
    <col min="5128" max="5128" width="11.85546875" style="224" customWidth="1"/>
    <col min="5129" max="5129" width="10" style="224" customWidth="1"/>
    <col min="5130" max="5376" width="9.140625" style="224"/>
    <col min="5377" max="5377" width="10.28515625" style="224" customWidth="1"/>
    <col min="5378" max="5378" width="11.5703125" style="224" customWidth="1"/>
    <col min="5379" max="5379" width="11.140625" style="224" customWidth="1"/>
    <col min="5380" max="5380" width="13.140625" style="224" customWidth="1"/>
    <col min="5381" max="5381" width="17" style="224" customWidth="1"/>
    <col min="5382" max="5382" width="56.42578125" style="224" customWidth="1"/>
    <col min="5383" max="5383" width="10.5703125" style="224" customWidth="1"/>
    <col min="5384" max="5384" width="11.85546875" style="224" customWidth="1"/>
    <col min="5385" max="5385" width="10" style="224" customWidth="1"/>
    <col min="5386" max="5632" width="9.140625" style="224"/>
    <col min="5633" max="5633" width="10.28515625" style="224" customWidth="1"/>
    <col min="5634" max="5634" width="11.5703125" style="224" customWidth="1"/>
    <col min="5635" max="5635" width="11.140625" style="224" customWidth="1"/>
    <col min="5636" max="5636" width="13.140625" style="224" customWidth="1"/>
    <col min="5637" max="5637" width="17" style="224" customWidth="1"/>
    <col min="5638" max="5638" width="56.42578125" style="224" customWidth="1"/>
    <col min="5639" max="5639" width="10.5703125" style="224" customWidth="1"/>
    <col min="5640" max="5640" width="11.85546875" style="224" customWidth="1"/>
    <col min="5641" max="5641" width="10" style="224" customWidth="1"/>
    <col min="5642" max="5888" width="9.140625" style="224"/>
    <col min="5889" max="5889" width="10.28515625" style="224" customWidth="1"/>
    <col min="5890" max="5890" width="11.5703125" style="224" customWidth="1"/>
    <col min="5891" max="5891" width="11.140625" style="224" customWidth="1"/>
    <col min="5892" max="5892" width="13.140625" style="224" customWidth="1"/>
    <col min="5893" max="5893" width="17" style="224" customWidth="1"/>
    <col min="5894" max="5894" width="56.42578125" style="224" customWidth="1"/>
    <col min="5895" max="5895" width="10.5703125" style="224" customWidth="1"/>
    <col min="5896" max="5896" width="11.85546875" style="224" customWidth="1"/>
    <col min="5897" max="5897" width="10" style="224" customWidth="1"/>
    <col min="5898" max="6144" width="9.140625" style="224"/>
    <col min="6145" max="6145" width="10.28515625" style="224" customWidth="1"/>
    <col min="6146" max="6146" width="11.5703125" style="224" customWidth="1"/>
    <col min="6147" max="6147" width="11.140625" style="224" customWidth="1"/>
    <col min="6148" max="6148" width="13.140625" style="224" customWidth="1"/>
    <col min="6149" max="6149" width="17" style="224" customWidth="1"/>
    <col min="6150" max="6150" width="56.42578125" style="224" customWidth="1"/>
    <col min="6151" max="6151" width="10.5703125" style="224" customWidth="1"/>
    <col min="6152" max="6152" width="11.85546875" style="224" customWidth="1"/>
    <col min="6153" max="6153" width="10" style="224" customWidth="1"/>
    <col min="6154" max="6400" width="9.140625" style="224"/>
    <col min="6401" max="6401" width="10.28515625" style="224" customWidth="1"/>
    <col min="6402" max="6402" width="11.5703125" style="224" customWidth="1"/>
    <col min="6403" max="6403" width="11.140625" style="224" customWidth="1"/>
    <col min="6404" max="6404" width="13.140625" style="224" customWidth="1"/>
    <col min="6405" max="6405" width="17" style="224" customWidth="1"/>
    <col min="6406" max="6406" width="56.42578125" style="224" customWidth="1"/>
    <col min="6407" max="6407" width="10.5703125" style="224" customWidth="1"/>
    <col min="6408" max="6408" width="11.85546875" style="224" customWidth="1"/>
    <col min="6409" max="6409" width="10" style="224" customWidth="1"/>
    <col min="6410" max="6656" width="9.140625" style="224"/>
    <col min="6657" max="6657" width="10.28515625" style="224" customWidth="1"/>
    <col min="6658" max="6658" width="11.5703125" style="224" customWidth="1"/>
    <col min="6659" max="6659" width="11.140625" style="224" customWidth="1"/>
    <col min="6660" max="6660" width="13.140625" style="224" customWidth="1"/>
    <col min="6661" max="6661" width="17" style="224" customWidth="1"/>
    <col min="6662" max="6662" width="56.42578125" style="224" customWidth="1"/>
    <col min="6663" max="6663" width="10.5703125" style="224" customWidth="1"/>
    <col min="6664" max="6664" width="11.85546875" style="224" customWidth="1"/>
    <col min="6665" max="6665" width="10" style="224" customWidth="1"/>
    <col min="6666" max="6912" width="9.140625" style="224"/>
    <col min="6913" max="6913" width="10.28515625" style="224" customWidth="1"/>
    <col min="6914" max="6914" width="11.5703125" style="224" customWidth="1"/>
    <col min="6915" max="6915" width="11.140625" style="224" customWidth="1"/>
    <col min="6916" max="6916" width="13.140625" style="224" customWidth="1"/>
    <col min="6917" max="6917" width="17" style="224" customWidth="1"/>
    <col min="6918" max="6918" width="56.42578125" style="224" customWidth="1"/>
    <col min="6919" max="6919" width="10.5703125" style="224" customWidth="1"/>
    <col min="6920" max="6920" width="11.85546875" style="224" customWidth="1"/>
    <col min="6921" max="6921" width="10" style="224" customWidth="1"/>
    <col min="6922" max="7168" width="9.140625" style="224"/>
    <col min="7169" max="7169" width="10.28515625" style="224" customWidth="1"/>
    <col min="7170" max="7170" width="11.5703125" style="224" customWidth="1"/>
    <col min="7171" max="7171" width="11.140625" style="224" customWidth="1"/>
    <col min="7172" max="7172" width="13.140625" style="224" customWidth="1"/>
    <col min="7173" max="7173" width="17" style="224" customWidth="1"/>
    <col min="7174" max="7174" width="56.42578125" style="224" customWidth="1"/>
    <col min="7175" max="7175" width="10.5703125" style="224" customWidth="1"/>
    <col min="7176" max="7176" width="11.85546875" style="224" customWidth="1"/>
    <col min="7177" max="7177" width="10" style="224" customWidth="1"/>
    <col min="7178" max="7424" width="9.140625" style="224"/>
    <col min="7425" max="7425" width="10.28515625" style="224" customWidth="1"/>
    <col min="7426" max="7426" width="11.5703125" style="224" customWidth="1"/>
    <col min="7427" max="7427" width="11.140625" style="224" customWidth="1"/>
    <col min="7428" max="7428" width="13.140625" style="224" customWidth="1"/>
    <col min="7429" max="7429" width="17" style="224" customWidth="1"/>
    <col min="7430" max="7430" width="56.42578125" style="224" customWidth="1"/>
    <col min="7431" max="7431" width="10.5703125" style="224" customWidth="1"/>
    <col min="7432" max="7432" width="11.85546875" style="224" customWidth="1"/>
    <col min="7433" max="7433" width="10" style="224" customWidth="1"/>
    <col min="7434" max="7680" width="9.140625" style="224"/>
    <col min="7681" max="7681" width="10.28515625" style="224" customWidth="1"/>
    <col min="7682" max="7682" width="11.5703125" style="224" customWidth="1"/>
    <col min="7683" max="7683" width="11.140625" style="224" customWidth="1"/>
    <col min="7684" max="7684" width="13.140625" style="224" customWidth="1"/>
    <col min="7685" max="7685" width="17" style="224" customWidth="1"/>
    <col min="7686" max="7686" width="56.42578125" style="224" customWidth="1"/>
    <col min="7687" max="7687" width="10.5703125" style="224" customWidth="1"/>
    <col min="7688" max="7688" width="11.85546875" style="224" customWidth="1"/>
    <col min="7689" max="7689" width="10" style="224" customWidth="1"/>
    <col min="7690" max="7936" width="9.140625" style="224"/>
    <col min="7937" max="7937" width="10.28515625" style="224" customWidth="1"/>
    <col min="7938" max="7938" width="11.5703125" style="224" customWidth="1"/>
    <col min="7939" max="7939" width="11.140625" style="224" customWidth="1"/>
    <col min="7940" max="7940" width="13.140625" style="224" customWidth="1"/>
    <col min="7941" max="7941" width="17" style="224" customWidth="1"/>
    <col min="7942" max="7942" width="56.42578125" style="224" customWidth="1"/>
    <col min="7943" max="7943" width="10.5703125" style="224" customWidth="1"/>
    <col min="7944" max="7944" width="11.85546875" style="224" customWidth="1"/>
    <col min="7945" max="7945" width="10" style="224" customWidth="1"/>
    <col min="7946" max="8192" width="9.140625" style="224"/>
    <col min="8193" max="8193" width="10.28515625" style="224" customWidth="1"/>
    <col min="8194" max="8194" width="11.5703125" style="224" customWidth="1"/>
    <col min="8195" max="8195" width="11.140625" style="224" customWidth="1"/>
    <col min="8196" max="8196" width="13.140625" style="224" customWidth="1"/>
    <col min="8197" max="8197" width="17" style="224" customWidth="1"/>
    <col min="8198" max="8198" width="56.42578125" style="224" customWidth="1"/>
    <col min="8199" max="8199" width="10.5703125" style="224" customWidth="1"/>
    <col min="8200" max="8200" width="11.85546875" style="224" customWidth="1"/>
    <col min="8201" max="8201" width="10" style="224" customWidth="1"/>
    <col min="8202" max="8448" width="9.140625" style="224"/>
    <col min="8449" max="8449" width="10.28515625" style="224" customWidth="1"/>
    <col min="8450" max="8450" width="11.5703125" style="224" customWidth="1"/>
    <col min="8451" max="8451" width="11.140625" style="224" customWidth="1"/>
    <col min="8452" max="8452" width="13.140625" style="224" customWidth="1"/>
    <col min="8453" max="8453" width="17" style="224" customWidth="1"/>
    <col min="8454" max="8454" width="56.42578125" style="224" customWidth="1"/>
    <col min="8455" max="8455" width="10.5703125" style="224" customWidth="1"/>
    <col min="8456" max="8456" width="11.85546875" style="224" customWidth="1"/>
    <col min="8457" max="8457" width="10" style="224" customWidth="1"/>
    <col min="8458" max="8704" width="9.140625" style="224"/>
    <col min="8705" max="8705" width="10.28515625" style="224" customWidth="1"/>
    <col min="8706" max="8706" width="11.5703125" style="224" customWidth="1"/>
    <col min="8707" max="8707" width="11.140625" style="224" customWidth="1"/>
    <col min="8708" max="8708" width="13.140625" style="224" customWidth="1"/>
    <col min="8709" max="8709" width="17" style="224" customWidth="1"/>
    <col min="8710" max="8710" width="56.42578125" style="224" customWidth="1"/>
    <col min="8711" max="8711" width="10.5703125" style="224" customWidth="1"/>
    <col min="8712" max="8712" width="11.85546875" style="224" customWidth="1"/>
    <col min="8713" max="8713" width="10" style="224" customWidth="1"/>
    <col min="8714" max="8960" width="9.140625" style="224"/>
    <col min="8961" max="8961" width="10.28515625" style="224" customWidth="1"/>
    <col min="8962" max="8962" width="11.5703125" style="224" customWidth="1"/>
    <col min="8963" max="8963" width="11.140625" style="224" customWidth="1"/>
    <col min="8964" max="8964" width="13.140625" style="224" customWidth="1"/>
    <col min="8965" max="8965" width="17" style="224" customWidth="1"/>
    <col min="8966" max="8966" width="56.42578125" style="224" customWidth="1"/>
    <col min="8967" max="8967" width="10.5703125" style="224" customWidth="1"/>
    <col min="8968" max="8968" width="11.85546875" style="224" customWidth="1"/>
    <col min="8969" max="8969" width="10" style="224" customWidth="1"/>
    <col min="8970" max="9216" width="9.140625" style="224"/>
    <col min="9217" max="9217" width="10.28515625" style="224" customWidth="1"/>
    <col min="9218" max="9218" width="11.5703125" style="224" customWidth="1"/>
    <col min="9219" max="9219" width="11.140625" style="224" customWidth="1"/>
    <col min="9220" max="9220" width="13.140625" style="224" customWidth="1"/>
    <col min="9221" max="9221" width="17" style="224" customWidth="1"/>
    <col min="9222" max="9222" width="56.42578125" style="224" customWidth="1"/>
    <col min="9223" max="9223" width="10.5703125" style="224" customWidth="1"/>
    <col min="9224" max="9224" width="11.85546875" style="224" customWidth="1"/>
    <col min="9225" max="9225" width="10" style="224" customWidth="1"/>
    <col min="9226" max="9472" width="9.140625" style="224"/>
    <col min="9473" max="9473" width="10.28515625" style="224" customWidth="1"/>
    <col min="9474" max="9474" width="11.5703125" style="224" customWidth="1"/>
    <col min="9475" max="9475" width="11.140625" style="224" customWidth="1"/>
    <col min="9476" max="9476" width="13.140625" style="224" customWidth="1"/>
    <col min="9477" max="9477" width="17" style="224" customWidth="1"/>
    <col min="9478" max="9478" width="56.42578125" style="224" customWidth="1"/>
    <col min="9479" max="9479" width="10.5703125" style="224" customWidth="1"/>
    <col min="9480" max="9480" width="11.85546875" style="224" customWidth="1"/>
    <col min="9481" max="9481" width="10" style="224" customWidth="1"/>
    <col min="9482" max="9728" width="9.140625" style="224"/>
    <col min="9729" max="9729" width="10.28515625" style="224" customWidth="1"/>
    <col min="9730" max="9730" width="11.5703125" style="224" customWidth="1"/>
    <col min="9731" max="9731" width="11.140625" style="224" customWidth="1"/>
    <col min="9732" max="9732" width="13.140625" style="224" customWidth="1"/>
    <col min="9733" max="9733" width="17" style="224" customWidth="1"/>
    <col min="9734" max="9734" width="56.42578125" style="224" customWidth="1"/>
    <col min="9735" max="9735" width="10.5703125" style="224" customWidth="1"/>
    <col min="9736" max="9736" width="11.85546875" style="224" customWidth="1"/>
    <col min="9737" max="9737" width="10" style="224" customWidth="1"/>
    <col min="9738" max="9984" width="9.140625" style="224"/>
    <col min="9985" max="9985" width="10.28515625" style="224" customWidth="1"/>
    <col min="9986" max="9986" width="11.5703125" style="224" customWidth="1"/>
    <col min="9987" max="9987" width="11.140625" style="224" customWidth="1"/>
    <col min="9988" max="9988" width="13.140625" style="224" customWidth="1"/>
    <col min="9989" max="9989" width="17" style="224" customWidth="1"/>
    <col min="9990" max="9990" width="56.42578125" style="224" customWidth="1"/>
    <col min="9991" max="9991" width="10.5703125" style="224" customWidth="1"/>
    <col min="9992" max="9992" width="11.85546875" style="224" customWidth="1"/>
    <col min="9993" max="9993" width="10" style="224" customWidth="1"/>
    <col min="9994" max="10240" width="9.140625" style="224"/>
    <col min="10241" max="10241" width="10.28515625" style="224" customWidth="1"/>
    <col min="10242" max="10242" width="11.5703125" style="224" customWidth="1"/>
    <col min="10243" max="10243" width="11.140625" style="224" customWidth="1"/>
    <col min="10244" max="10244" width="13.140625" style="224" customWidth="1"/>
    <col min="10245" max="10245" width="17" style="224" customWidth="1"/>
    <col min="10246" max="10246" width="56.42578125" style="224" customWidth="1"/>
    <col min="10247" max="10247" width="10.5703125" style="224" customWidth="1"/>
    <col min="10248" max="10248" width="11.85546875" style="224" customWidth="1"/>
    <col min="10249" max="10249" width="10" style="224" customWidth="1"/>
    <col min="10250" max="10496" width="9.140625" style="224"/>
    <col min="10497" max="10497" width="10.28515625" style="224" customWidth="1"/>
    <col min="10498" max="10498" width="11.5703125" style="224" customWidth="1"/>
    <col min="10499" max="10499" width="11.140625" style="224" customWidth="1"/>
    <col min="10500" max="10500" width="13.140625" style="224" customWidth="1"/>
    <col min="10501" max="10501" width="17" style="224" customWidth="1"/>
    <col min="10502" max="10502" width="56.42578125" style="224" customWidth="1"/>
    <col min="10503" max="10503" width="10.5703125" style="224" customWidth="1"/>
    <col min="10504" max="10504" width="11.85546875" style="224" customWidth="1"/>
    <col min="10505" max="10505" width="10" style="224" customWidth="1"/>
    <col min="10506" max="10752" width="9.140625" style="224"/>
    <col min="10753" max="10753" width="10.28515625" style="224" customWidth="1"/>
    <col min="10754" max="10754" width="11.5703125" style="224" customWidth="1"/>
    <col min="10755" max="10755" width="11.140625" style="224" customWidth="1"/>
    <col min="10756" max="10756" width="13.140625" style="224" customWidth="1"/>
    <col min="10757" max="10757" width="17" style="224" customWidth="1"/>
    <col min="10758" max="10758" width="56.42578125" style="224" customWidth="1"/>
    <col min="10759" max="10759" width="10.5703125" style="224" customWidth="1"/>
    <col min="10760" max="10760" width="11.85546875" style="224" customWidth="1"/>
    <col min="10761" max="10761" width="10" style="224" customWidth="1"/>
    <col min="10762" max="11008" width="9.140625" style="224"/>
    <col min="11009" max="11009" width="10.28515625" style="224" customWidth="1"/>
    <col min="11010" max="11010" width="11.5703125" style="224" customWidth="1"/>
    <col min="11011" max="11011" width="11.140625" style="224" customWidth="1"/>
    <col min="11012" max="11012" width="13.140625" style="224" customWidth="1"/>
    <col min="11013" max="11013" width="17" style="224" customWidth="1"/>
    <col min="11014" max="11014" width="56.42578125" style="224" customWidth="1"/>
    <col min="11015" max="11015" width="10.5703125" style="224" customWidth="1"/>
    <col min="11016" max="11016" width="11.85546875" style="224" customWidth="1"/>
    <col min="11017" max="11017" width="10" style="224" customWidth="1"/>
    <col min="11018" max="11264" width="9.140625" style="224"/>
    <col min="11265" max="11265" width="10.28515625" style="224" customWidth="1"/>
    <col min="11266" max="11266" width="11.5703125" style="224" customWidth="1"/>
    <col min="11267" max="11267" width="11.140625" style="224" customWidth="1"/>
    <col min="11268" max="11268" width="13.140625" style="224" customWidth="1"/>
    <col min="11269" max="11269" width="17" style="224" customWidth="1"/>
    <col min="11270" max="11270" width="56.42578125" style="224" customWidth="1"/>
    <col min="11271" max="11271" width="10.5703125" style="224" customWidth="1"/>
    <col min="11272" max="11272" width="11.85546875" style="224" customWidth="1"/>
    <col min="11273" max="11273" width="10" style="224" customWidth="1"/>
    <col min="11274" max="11520" width="9.140625" style="224"/>
    <col min="11521" max="11521" width="10.28515625" style="224" customWidth="1"/>
    <col min="11522" max="11522" width="11.5703125" style="224" customWidth="1"/>
    <col min="11523" max="11523" width="11.140625" style="224" customWidth="1"/>
    <col min="11524" max="11524" width="13.140625" style="224" customWidth="1"/>
    <col min="11525" max="11525" width="17" style="224" customWidth="1"/>
    <col min="11526" max="11526" width="56.42578125" style="224" customWidth="1"/>
    <col min="11527" max="11527" width="10.5703125" style="224" customWidth="1"/>
    <col min="11528" max="11528" width="11.85546875" style="224" customWidth="1"/>
    <col min="11529" max="11529" width="10" style="224" customWidth="1"/>
    <col min="11530" max="11776" width="9.140625" style="224"/>
    <col min="11777" max="11777" width="10.28515625" style="224" customWidth="1"/>
    <col min="11778" max="11778" width="11.5703125" style="224" customWidth="1"/>
    <col min="11779" max="11779" width="11.140625" style="224" customWidth="1"/>
    <col min="11780" max="11780" width="13.140625" style="224" customWidth="1"/>
    <col min="11781" max="11781" width="17" style="224" customWidth="1"/>
    <col min="11782" max="11782" width="56.42578125" style="224" customWidth="1"/>
    <col min="11783" max="11783" width="10.5703125" style="224" customWidth="1"/>
    <col min="11784" max="11784" width="11.85546875" style="224" customWidth="1"/>
    <col min="11785" max="11785" width="10" style="224" customWidth="1"/>
    <col min="11786" max="12032" width="9.140625" style="224"/>
    <col min="12033" max="12033" width="10.28515625" style="224" customWidth="1"/>
    <col min="12034" max="12034" width="11.5703125" style="224" customWidth="1"/>
    <col min="12035" max="12035" width="11.140625" style="224" customWidth="1"/>
    <col min="12036" max="12036" width="13.140625" style="224" customWidth="1"/>
    <col min="12037" max="12037" width="17" style="224" customWidth="1"/>
    <col min="12038" max="12038" width="56.42578125" style="224" customWidth="1"/>
    <col min="12039" max="12039" width="10.5703125" style="224" customWidth="1"/>
    <col min="12040" max="12040" width="11.85546875" style="224" customWidth="1"/>
    <col min="12041" max="12041" width="10" style="224" customWidth="1"/>
    <col min="12042" max="12288" width="9.140625" style="224"/>
    <col min="12289" max="12289" width="10.28515625" style="224" customWidth="1"/>
    <col min="12290" max="12290" width="11.5703125" style="224" customWidth="1"/>
    <col min="12291" max="12291" width="11.140625" style="224" customWidth="1"/>
    <col min="12292" max="12292" width="13.140625" style="224" customWidth="1"/>
    <col min="12293" max="12293" width="17" style="224" customWidth="1"/>
    <col min="12294" max="12294" width="56.42578125" style="224" customWidth="1"/>
    <col min="12295" max="12295" width="10.5703125" style="224" customWidth="1"/>
    <col min="12296" max="12296" width="11.85546875" style="224" customWidth="1"/>
    <col min="12297" max="12297" width="10" style="224" customWidth="1"/>
    <col min="12298" max="12544" width="9.140625" style="224"/>
    <col min="12545" max="12545" width="10.28515625" style="224" customWidth="1"/>
    <col min="12546" max="12546" width="11.5703125" style="224" customWidth="1"/>
    <col min="12547" max="12547" width="11.140625" style="224" customWidth="1"/>
    <col min="12548" max="12548" width="13.140625" style="224" customWidth="1"/>
    <col min="12549" max="12549" width="17" style="224" customWidth="1"/>
    <col min="12550" max="12550" width="56.42578125" style="224" customWidth="1"/>
    <col min="12551" max="12551" width="10.5703125" style="224" customWidth="1"/>
    <col min="12552" max="12552" width="11.85546875" style="224" customWidth="1"/>
    <col min="12553" max="12553" width="10" style="224" customWidth="1"/>
    <col min="12554" max="12800" width="9.140625" style="224"/>
    <col min="12801" max="12801" width="10.28515625" style="224" customWidth="1"/>
    <col min="12802" max="12802" width="11.5703125" style="224" customWidth="1"/>
    <col min="12803" max="12803" width="11.140625" style="224" customWidth="1"/>
    <col min="12804" max="12804" width="13.140625" style="224" customWidth="1"/>
    <col min="12805" max="12805" width="17" style="224" customWidth="1"/>
    <col min="12806" max="12806" width="56.42578125" style="224" customWidth="1"/>
    <col min="12807" max="12807" width="10.5703125" style="224" customWidth="1"/>
    <col min="12808" max="12808" width="11.85546875" style="224" customWidth="1"/>
    <col min="12809" max="12809" width="10" style="224" customWidth="1"/>
    <col min="12810" max="13056" width="9.140625" style="224"/>
    <col min="13057" max="13057" width="10.28515625" style="224" customWidth="1"/>
    <col min="13058" max="13058" width="11.5703125" style="224" customWidth="1"/>
    <col min="13059" max="13059" width="11.140625" style="224" customWidth="1"/>
    <col min="13060" max="13060" width="13.140625" style="224" customWidth="1"/>
    <col min="13061" max="13061" width="17" style="224" customWidth="1"/>
    <col min="13062" max="13062" width="56.42578125" style="224" customWidth="1"/>
    <col min="13063" max="13063" width="10.5703125" style="224" customWidth="1"/>
    <col min="13064" max="13064" width="11.85546875" style="224" customWidth="1"/>
    <col min="13065" max="13065" width="10" style="224" customWidth="1"/>
    <col min="13066" max="13312" width="9.140625" style="224"/>
    <col min="13313" max="13313" width="10.28515625" style="224" customWidth="1"/>
    <col min="13314" max="13314" width="11.5703125" style="224" customWidth="1"/>
    <col min="13315" max="13315" width="11.140625" style="224" customWidth="1"/>
    <col min="13316" max="13316" width="13.140625" style="224" customWidth="1"/>
    <col min="13317" max="13317" width="17" style="224" customWidth="1"/>
    <col min="13318" max="13318" width="56.42578125" style="224" customWidth="1"/>
    <col min="13319" max="13319" width="10.5703125" style="224" customWidth="1"/>
    <col min="13320" max="13320" width="11.85546875" style="224" customWidth="1"/>
    <col min="13321" max="13321" width="10" style="224" customWidth="1"/>
    <col min="13322" max="13568" width="9.140625" style="224"/>
    <col min="13569" max="13569" width="10.28515625" style="224" customWidth="1"/>
    <col min="13570" max="13570" width="11.5703125" style="224" customWidth="1"/>
    <col min="13571" max="13571" width="11.140625" style="224" customWidth="1"/>
    <col min="13572" max="13572" width="13.140625" style="224" customWidth="1"/>
    <col min="13573" max="13573" width="17" style="224" customWidth="1"/>
    <col min="13574" max="13574" width="56.42578125" style="224" customWidth="1"/>
    <col min="13575" max="13575" width="10.5703125" style="224" customWidth="1"/>
    <col min="13576" max="13576" width="11.85546875" style="224" customWidth="1"/>
    <col min="13577" max="13577" width="10" style="224" customWidth="1"/>
    <col min="13578" max="13824" width="9.140625" style="224"/>
    <col min="13825" max="13825" width="10.28515625" style="224" customWidth="1"/>
    <col min="13826" max="13826" width="11.5703125" style="224" customWidth="1"/>
    <col min="13827" max="13827" width="11.140625" style="224" customWidth="1"/>
    <col min="13828" max="13828" width="13.140625" style="224" customWidth="1"/>
    <col min="13829" max="13829" width="17" style="224" customWidth="1"/>
    <col min="13830" max="13830" width="56.42578125" style="224" customWidth="1"/>
    <col min="13831" max="13831" width="10.5703125" style="224" customWidth="1"/>
    <col min="13832" max="13832" width="11.85546875" style="224" customWidth="1"/>
    <col min="13833" max="13833" width="10" style="224" customWidth="1"/>
    <col min="13834" max="14080" width="9.140625" style="224"/>
    <col min="14081" max="14081" width="10.28515625" style="224" customWidth="1"/>
    <col min="14082" max="14082" width="11.5703125" style="224" customWidth="1"/>
    <col min="14083" max="14083" width="11.140625" style="224" customWidth="1"/>
    <col min="14084" max="14084" width="13.140625" style="224" customWidth="1"/>
    <col min="14085" max="14085" width="17" style="224" customWidth="1"/>
    <col min="14086" max="14086" width="56.42578125" style="224" customWidth="1"/>
    <col min="14087" max="14087" width="10.5703125" style="224" customWidth="1"/>
    <col min="14088" max="14088" width="11.85546875" style="224" customWidth="1"/>
    <col min="14089" max="14089" width="10" style="224" customWidth="1"/>
    <col min="14090" max="14336" width="9.140625" style="224"/>
    <col min="14337" max="14337" width="10.28515625" style="224" customWidth="1"/>
    <col min="14338" max="14338" width="11.5703125" style="224" customWidth="1"/>
    <col min="14339" max="14339" width="11.140625" style="224" customWidth="1"/>
    <col min="14340" max="14340" width="13.140625" style="224" customWidth="1"/>
    <col min="14341" max="14341" width="17" style="224" customWidth="1"/>
    <col min="14342" max="14342" width="56.42578125" style="224" customWidth="1"/>
    <col min="14343" max="14343" width="10.5703125" style="224" customWidth="1"/>
    <col min="14344" max="14344" width="11.85546875" style="224" customWidth="1"/>
    <col min="14345" max="14345" width="10" style="224" customWidth="1"/>
    <col min="14346" max="14592" width="9.140625" style="224"/>
    <col min="14593" max="14593" width="10.28515625" style="224" customWidth="1"/>
    <col min="14594" max="14594" width="11.5703125" style="224" customWidth="1"/>
    <col min="14595" max="14595" width="11.140625" style="224" customWidth="1"/>
    <col min="14596" max="14596" width="13.140625" style="224" customWidth="1"/>
    <col min="14597" max="14597" width="17" style="224" customWidth="1"/>
    <col min="14598" max="14598" width="56.42578125" style="224" customWidth="1"/>
    <col min="14599" max="14599" width="10.5703125" style="224" customWidth="1"/>
    <col min="14600" max="14600" width="11.85546875" style="224" customWidth="1"/>
    <col min="14601" max="14601" width="10" style="224" customWidth="1"/>
    <col min="14602" max="14848" width="9.140625" style="224"/>
    <col min="14849" max="14849" width="10.28515625" style="224" customWidth="1"/>
    <col min="14850" max="14850" width="11.5703125" style="224" customWidth="1"/>
    <col min="14851" max="14851" width="11.140625" style="224" customWidth="1"/>
    <col min="14852" max="14852" width="13.140625" style="224" customWidth="1"/>
    <col min="14853" max="14853" width="17" style="224" customWidth="1"/>
    <col min="14854" max="14854" width="56.42578125" style="224" customWidth="1"/>
    <col min="14855" max="14855" width="10.5703125" style="224" customWidth="1"/>
    <col min="14856" max="14856" width="11.85546875" style="224" customWidth="1"/>
    <col min="14857" max="14857" width="10" style="224" customWidth="1"/>
    <col min="14858" max="15104" width="9.140625" style="224"/>
    <col min="15105" max="15105" width="10.28515625" style="224" customWidth="1"/>
    <col min="15106" max="15106" width="11.5703125" style="224" customWidth="1"/>
    <col min="15107" max="15107" width="11.140625" style="224" customWidth="1"/>
    <col min="15108" max="15108" width="13.140625" style="224" customWidth="1"/>
    <col min="15109" max="15109" width="17" style="224" customWidth="1"/>
    <col min="15110" max="15110" width="56.42578125" style="224" customWidth="1"/>
    <col min="15111" max="15111" width="10.5703125" style="224" customWidth="1"/>
    <col min="15112" max="15112" width="11.85546875" style="224" customWidth="1"/>
    <col min="15113" max="15113" width="10" style="224" customWidth="1"/>
    <col min="15114" max="15360" width="9.140625" style="224"/>
    <col min="15361" max="15361" width="10.28515625" style="224" customWidth="1"/>
    <col min="15362" max="15362" width="11.5703125" style="224" customWidth="1"/>
    <col min="15363" max="15363" width="11.140625" style="224" customWidth="1"/>
    <col min="15364" max="15364" width="13.140625" style="224" customWidth="1"/>
    <col min="15365" max="15365" width="17" style="224" customWidth="1"/>
    <col min="15366" max="15366" width="56.42578125" style="224" customWidth="1"/>
    <col min="15367" max="15367" width="10.5703125" style="224" customWidth="1"/>
    <col min="15368" max="15368" width="11.85546875" style="224" customWidth="1"/>
    <col min="15369" max="15369" width="10" style="224" customWidth="1"/>
    <col min="15370" max="15616" width="9.140625" style="224"/>
    <col min="15617" max="15617" width="10.28515625" style="224" customWidth="1"/>
    <col min="15618" max="15618" width="11.5703125" style="224" customWidth="1"/>
    <col min="15619" max="15619" width="11.140625" style="224" customWidth="1"/>
    <col min="15620" max="15620" width="13.140625" style="224" customWidth="1"/>
    <col min="15621" max="15621" width="17" style="224" customWidth="1"/>
    <col min="15622" max="15622" width="56.42578125" style="224" customWidth="1"/>
    <col min="15623" max="15623" width="10.5703125" style="224" customWidth="1"/>
    <col min="15624" max="15624" width="11.85546875" style="224" customWidth="1"/>
    <col min="15625" max="15625" width="10" style="224" customWidth="1"/>
    <col min="15626" max="15872" width="9.140625" style="224"/>
    <col min="15873" max="15873" width="10.28515625" style="224" customWidth="1"/>
    <col min="15874" max="15874" width="11.5703125" style="224" customWidth="1"/>
    <col min="15875" max="15875" width="11.140625" style="224" customWidth="1"/>
    <col min="15876" max="15876" width="13.140625" style="224" customWidth="1"/>
    <col min="15877" max="15877" width="17" style="224" customWidth="1"/>
    <col min="15878" max="15878" width="56.42578125" style="224" customWidth="1"/>
    <col min="15879" max="15879" width="10.5703125" style="224" customWidth="1"/>
    <col min="15880" max="15880" width="11.85546875" style="224" customWidth="1"/>
    <col min="15881" max="15881" width="10" style="224" customWidth="1"/>
    <col min="15882" max="16128" width="9.140625" style="224"/>
    <col min="16129" max="16129" width="10.28515625" style="224" customWidth="1"/>
    <col min="16130" max="16130" width="11.5703125" style="224" customWidth="1"/>
    <col min="16131" max="16131" width="11.140625" style="224" customWidth="1"/>
    <col min="16132" max="16132" width="13.140625" style="224" customWidth="1"/>
    <col min="16133" max="16133" width="17" style="224" customWidth="1"/>
    <col min="16134" max="16134" width="56.42578125" style="224" customWidth="1"/>
    <col min="16135" max="16135" width="10.5703125" style="224" customWidth="1"/>
    <col min="16136" max="16136" width="11.85546875" style="224" customWidth="1"/>
    <col min="16137" max="16137" width="10" style="224" customWidth="1"/>
    <col min="16138" max="16384" width="9.140625" style="224"/>
  </cols>
  <sheetData>
    <row r="2" spans="1:9" s="195" customFormat="1" x14ac:dyDescent="0.2">
      <c r="A2" s="190" t="s">
        <v>59</v>
      </c>
      <c r="B2" s="190" t="s">
        <v>2</v>
      </c>
      <c r="C2" s="191" t="s">
        <v>60</v>
      </c>
      <c r="D2" s="191" t="s">
        <v>61</v>
      </c>
      <c r="E2" s="192" t="s">
        <v>62</v>
      </c>
      <c r="F2" s="192" t="s">
        <v>63</v>
      </c>
      <c r="G2" s="193">
        <f>SUM(G3:G27)</f>
        <v>35161499.129999995</v>
      </c>
      <c r="H2" s="191" t="s">
        <v>64</v>
      </c>
      <c r="I2" s="194"/>
    </row>
    <row r="3" spans="1:9" s="187" customFormat="1" x14ac:dyDescent="0.2">
      <c r="A3" s="196" t="s">
        <v>65</v>
      </c>
      <c r="B3" s="197">
        <v>45785</v>
      </c>
      <c r="C3" s="198" t="s">
        <v>658</v>
      </c>
      <c r="D3" s="198" t="s">
        <v>659</v>
      </c>
      <c r="E3" s="199" t="s">
        <v>66</v>
      </c>
      <c r="F3" s="199" t="s">
        <v>68</v>
      </c>
      <c r="G3" s="200">
        <v>176</v>
      </c>
      <c r="H3" s="198"/>
    </row>
    <row r="4" spans="1:9" s="187" customFormat="1" x14ac:dyDescent="0.2">
      <c r="A4" s="196" t="s">
        <v>65</v>
      </c>
      <c r="B4" s="197">
        <v>45785</v>
      </c>
      <c r="C4" s="198" t="s">
        <v>658</v>
      </c>
      <c r="D4" s="198" t="s">
        <v>660</v>
      </c>
      <c r="E4" s="199" t="s">
        <v>66</v>
      </c>
      <c r="F4" s="199" t="s">
        <v>70</v>
      </c>
      <c r="G4" s="200">
        <v>20371.72</v>
      </c>
      <c r="H4" s="198"/>
    </row>
    <row r="5" spans="1:9" s="187" customFormat="1" x14ac:dyDescent="0.2">
      <c r="A5" s="196" t="s">
        <v>65</v>
      </c>
      <c r="B5" s="197">
        <v>45785</v>
      </c>
      <c r="C5" s="198" t="s">
        <v>658</v>
      </c>
      <c r="D5" s="198" t="s">
        <v>661</v>
      </c>
      <c r="E5" s="199" t="s">
        <v>66</v>
      </c>
      <c r="F5" s="199" t="s">
        <v>73</v>
      </c>
      <c r="G5" s="200">
        <v>9384.76</v>
      </c>
      <c r="H5" s="198"/>
    </row>
    <row r="6" spans="1:9" s="187" customFormat="1" x14ac:dyDescent="0.2">
      <c r="A6" s="196" t="s">
        <v>65</v>
      </c>
      <c r="B6" s="197">
        <v>45785</v>
      </c>
      <c r="C6" s="198" t="s">
        <v>658</v>
      </c>
      <c r="D6" s="198" t="s">
        <v>662</v>
      </c>
      <c r="E6" s="199" t="s">
        <v>66</v>
      </c>
      <c r="F6" s="199" t="s">
        <v>74</v>
      </c>
      <c r="G6" s="200">
        <v>728012.77</v>
      </c>
      <c r="H6" s="198"/>
    </row>
    <row r="7" spans="1:9" s="187" customFormat="1" x14ac:dyDescent="0.2">
      <c r="A7" s="196" t="s">
        <v>65</v>
      </c>
      <c r="B7" s="197">
        <v>45785</v>
      </c>
      <c r="C7" s="198" t="s">
        <v>658</v>
      </c>
      <c r="D7" s="198" t="s">
        <v>663</v>
      </c>
      <c r="E7" s="199" t="s">
        <v>66</v>
      </c>
      <c r="F7" s="199" t="s">
        <v>75</v>
      </c>
      <c r="G7" s="200">
        <v>44612.14</v>
      </c>
      <c r="H7" s="198"/>
    </row>
    <row r="8" spans="1:9" s="187" customFormat="1" x14ac:dyDescent="0.2">
      <c r="A8" s="196" t="s">
        <v>65</v>
      </c>
      <c r="B8" s="197">
        <v>45785</v>
      </c>
      <c r="C8" s="198" t="s">
        <v>658</v>
      </c>
      <c r="D8" s="198" t="s">
        <v>664</v>
      </c>
      <c r="E8" s="199" t="s">
        <v>66</v>
      </c>
      <c r="F8" s="199" t="s">
        <v>76</v>
      </c>
      <c r="G8" s="200">
        <v>302.39</v>
      </c>
      <c r="H8" s="198"/>
    </row>
    <row r="9" spans="1:9" s="187" customFormat="1" x14ac:dyDescent="0.2">
      <c r="A9" s="196" t="s">
        <v>65</v>
      </c>
      <c r="B9" s="197">
        <v>45785</v>
      </c>
      <c r="C9" s="198" t="s">
        <v>658</v>
      </c>
      <c r="D9" s="198" t="s">
        <v>665</v>
      </c>
      <c r="E9" s="199" t="s">
        <v>66</v>
      </c>
      <c r="F9" s="199" t="s">
        <v>77</v>
      </c>
      <c r="G9" s="200">
        <v>377372.39</v>
      </c>
      <c r="H9" s="198"/>
    </row>
    <row r="10" spans="1:9" s="187" customFormat="1" x14ac:dyDescent="0.2">
      <c r="A10" s="196" t="s">
        <v>65</v>
      </c>
      <c r="B10" s="197">
        <v>45785</v>
      </c>
      <c r="C10" s="198" t="s">
        <v>658</v>
      </c>
      <c r="D10" s="198" t="s">
        <v>666</v>
      </c>
      <c r="E10" s="199" t="s">
        <v>66</v>
      </c>
      <c r="F10" s="199" t="s">
        <v>79</v>
      </c>
      <c r="G10" s="200">
        <v>84</v>
      </c>
      <c r="H10" s="198"/>
    </row>
    <row r="11" spans="1:9" s="187" customFormat="1" x14ac:dyDescent="0.2">
      <c r="A11" s="196" t="s">
        <v>65</v>
      </c>
      <c r="B11" s="197">
        <v>45785</v>
      </c>
      <c r="C11" s="198" t="s">
        <v>658</v>
      </c>
      <c r="D11" s="198" t="s">
        <v>667</v>
      </c>
      <c r="E11" s="199" t="s">
        <v>66</v>
      </c>
      <c r="F11" s="199" t="s">
        <v>80</v>
      </c>
      <c r="G11" s="200">
        <v>8704419.5600000005</v>
      </c>
      <c r="H11" s="198"/>
    </row>
    <row r="12" spans="1:9" s="187" customFormat="1" x14ac:dyDescent="0.2">
      <c r="A12" s="196" t="s">
        <v>65</v>
      </c>
      <c r="B12" s="197">
        <v>45785</v>
      </c>
      <c r="C12" s="198" t="s">
        <v>658</v>
      </c>
      <c r="D12" s="198" t="s">
        <v>668</v>
      </c>
      <c r="E12" s="199" t="s">
        <v>66</v>
      </c>
      <c r="F12" s="199" t="s">
        <v>81</v>
      </c>
      <c r="G12" s="200">
        <v>4218.3599999999997</v>
      </c>
      <c r="H12" s="198"/>
    </row>
    <row r="13" spans="1:9" s="187" customFormat="1" x14ac:dyDescent="0.2">
      <c r="A13" s="196" t="s">
        <v>65</v>
      </c>
      <c r="B13" s="197">
        <v>45785</v>
      </c>
      <c r="C13" s="198" t="s">
        <v>658</v>
      </c>
      <c r="D13" s="198" t="s">
        <v>669</v>
      </c>
      <c r="E13" s="199" t="s">
        <v>66</v>
      </c>
      <c r="F13" s="199" t="s">
        <v>82</v>
      </c>
      <c r="G13" s="200">
        <v>3105777.05</v>
      </c>
      <c r="H13" s="198"/>
    </row>
    <row r="14" spans="1:9" s="187" customFormat="1" x14ac:dyDescent="0.2">
      <c r="A14" s="196" t="s">
        <v>65</v>
      </c>
      <c r="B14" s="197">
        <v>45785</v>
      </c>
      <c r="C14" s="198" t="s">
        <v>658</v>
      </c>
      <c r="D14" s="198" t="s">
        <v>670</v>
      </c>
      <c r="E14" s="199" t="s">
        <v>66</v>
      </c>
      <c r="F14" s="199" t="s">
        <v>83</v>
      </c>
      <c r="G14" s="200">
        <v>24549.32</v>
      </c>
      <c r="H14" s="198"/>
    </row>
    <row r="15" spans="1:9" s="187" customFormat="1" x14ac:dyDescent="0.2">
      <c r="A15" s="212" t="s">
        <v>65</v>
      </c>
      <c r="B15" s="213">
        <v>45785</v>
      </c>
      <c r="C15" s="207" t="s">
        <v>658</v>
      </c>
      <c r="D15" s="207" t="s">
        <v>671</v>
      </c>
      <c r="E15" s="214" t="s">
        <v>66</v>
      </c>
      <c r="F15" s="214" t="s">
        <v>89</v>
      </c>
      <c r="G15" s="215">
        <v>103.93</v>
      </c>
      <c r="H15" s="207" t="s">
        <v>684</v>
      </c>
    </row>
    <row r="16" spans="1:9" s="187" customFormat="1" x14ac:dyDescent="0.2">
      <c r="A16" s="196" t="s">
        <v>65</v>
      </c>
      <c r="B16" s="197">
        <v>45785</v>
      </c>
      <c r="C16" s="198" t="s">
        <v>658</v>
      </c>
      <c r="D16" s="198" t="s">
        <v>672</v>
      </c>
      <c r="E16" s="199" t="s">
        <v>66</v>
      </c>
      <c r="F16" s="199" t="s">
        <v>84</v>
      </c>
      <c r="G16" s="200">
        <v>177854.37</v>
      </c>
      <c r="H16" s="198"/>
    </row>
    <row r="17" spans="1:9" s="187" customFormat="1" x14ac:dyDescent="0.2">
      <c r="A17" s="196" t="s">
        <v>65</v>
      </c>
      <c r="B17" s="197">
        <v>45785</v>
      </c>
      <c r="C17" s="198" t="s">
        <v>658</v>
      </c>
      <c r="D17" s="198" t="s">
        <v>673</v>
      </c>
      <c r="E17" s="201" t="s">
        <v>66</v>
      </c>
      <c r="F17" s="201" t="s">
        <v>85</v>
      </c>
      <c r="G17" s="202">
        <v>320.23</v>
      </c>
      <c r="H17" s="198"/>
    </row>
    <row r="18" spans="1:9" s="187" customFormat="1" x14ac:dyDescent="0.2">
      <c r="A18" s="196" t="s">
        <v>65</v>
      </c>
      <c r="B18" s="197">
        <v>45785</v>
      </c>
      <c r="C18" s="198" t="s">
        <v>658</v>
      </c>
      <c r="D18" s="198" t="s">
        <v>674</v>
      </c>
      <c r="E18" s="199" t="s">
        <v>66</v>
      </c>
      <c r="F18" s="199" t="s">
        <v>86</v>
      </c>
      <c r="G18" s="200">
        <v>470.99</v>
      </c>
      <c r="H18" s="198"/>
    </row>
    <row r="19" spans="1:9" s="187" customFormat="1" x14ac:dyDescent="0.2">
      <c r="A19" s="196" t="s">
        <v>65</v>
      </c>
      <c r="B19" s="197">
        <v>45785</v>
      </c>
      <c r="C19" s="198" t="s">
        <v>658</v>
      </c>
      <c r="D19" s="198" t="s">
        <v>675</v>
      </c>
      <c r="E19" s="199" t="s">
        <v>66</v>
      </c>
      <c r="F19" s="199" t="s">
        <v>87</v>
      </c>
      <c r="G19" s="200">
        <v>8405404.0999999996</v>
      </c>
      <c r="H19" s="198"/>
    </row>
    <row r="20" spans="1:9" s="187" customFormat="1" x14ac:dyDescent="0.2">
      <c r="A20" s="203" t="s">
        <v>65</v>
      </c>
      <c r="B20" s="197">
        <v>45785</v>
      </c>
      <c r="C20" s="198" t="s">
        <v>658</v>
      </c>
      <c r="D20" s="204" t="s">
        <v>676</v>
      </c>
      <c r="E20" s="199" t="s">
        <v>66</v>
      </c>
      <c r="F20" s="205" t="s">
        <v>87</v>
      </c>
      <c r="G20" s="206">
        <v>20217.84</v>
      </c>
      <c r="H20" s="207"/>
    </row>
    <row r="21" spans="1:9" s="187" customFormat="1" x14ac:dyDescent="0.2">
      <c r="A21" s="196" t="s">
        <v>65</v>
      </c>
      <c r="B21" s="197">
        <v>45785</v>
      </c>
      <c r="C21" s="198" t="s">
        <v>658</v>
      </c>
      <c r="D21" s="198" t="s">
        <v>677</v>
      </c>
      <c r="E21" s="199" t="s">
        <v>66</v>
      </c>
      <c r="F21" s="199" t="s">
        <v>91</v>
      </c>
      <c r="G21" s="200">
        <v>2799173.63</v>
      </c>
      <c r="H21" s="198"/>
    </row>
    <row r="22" spans="1:9" s="187" customFormat="1" x14ac:dyDescent="0.2">
      <c r="A22" s="196" t="s">
        <v>65</v>
      </c>
      <c r="B22" s="197">
        <v>45785</v>
      </c>
      <c r="C22" s="198" t="s">
        <v>658</v>
      </c>
      <c r="D22" s="198" t="s">
        <v>678</v>
      </c>
      <c r="E22" s="199" t="s">
        <v>66</v>
      </c>
      <c r="F22" s="199" t="s">
        <v>91</v>
      </c>
      <c r="G22" s="200">
        <v>5409359.0800000001</v>
      </c>
      <c r="H22" s="198"/>
    </row>
    <row r="23" spans="1:9" s="187" customFormat="1" x14ac:dyDescent="0.2">
      <c r="A23" s="196" t="s">
        <v>65</v>
      </c>
      <c r="B23" s="197">
        <v>45785</v>
      </c>
      <c r="C23" s="198" t="s">
        <v>658</v>
      </c>
      <c r="D23" s="198" t="s">
        <v>679</v>
      </c>
      <c r="E23" s="199" t="s">
        <v>66</v>
      </c>
      <c r="F23" s="199" t="s">
        <v>91</v>
      </c>
      <c r="G23" s="200">
        <v>11584.81</v>
      </c>
      <c r="H23" s="198"/>
    </row>
    <row r="24" spans="1:9" s="187" customFormat="1" x14ac:dyDescent="0.2">
      <c r="A24" s="196" t="s">
        <v>65</v>
      </c>
      <c r="B24" s="197">
        <v>45785</v>
      </c>
      <c r="C24" s="198" t="s">
        <v>658</v>
      </c>
      <c r="D24" s="198" t="s">
        <v>680</v>
      </c>
      <c r="E24" s="201" t="s">
        <v>66</v>
      </c>
      <c r="F24" s="201" t="s">
        <v>91</v>
      </c>
      <c r="G24" s="202">
        <v>2799173.63</v>
      </c>
      <c r="H24" s="198"/>
    </row>
    <row r="25" spans="1:9" s="187" customFormat="1" x14ac:dyDescent="0.2">
      <c r="A25" s="196" t="s">
        <v>65</v>
      </c>
      <c r="B25" s="197">
        <v>45785</v>
      </c>
      <c r="C25" s="198" t="s">
        <v>658</v>
      </c>
      <c r="D25" s="198" t="s">
        <v>681</v>
      </c>
      <c r="E25" s="199" t="s">
        <v>66</v>
      </c>
      <c r="F25" s="199" t="s">
        <v>91</v>
      </c>
      <c r="G25" s="200">
        <v>627978.99</v>
      </c>
      <c r="H25" s="198"/>
    </row>
    <row r="26" spans="1:9" s="187" customFormat="1" x14ac:dyDescent="0.2">
      <c r="A26" s="196" t="s">
        <v>65</v>
      </c>
      <c r="B26" s="197">
        <v>45785</v>
      </c>
      <c r="C26" s="198" t="s">
        <v>658</v>
      </c>
      <c r="D26" s="198" t="s">
        <v>682</v>
      </c>
      <c r="E26" s="199" t="s">
        <v>66</v>
      </c>
      <c r="F26" s="199" t="s">
        <v>91</v>
      </c>
      <c r="G26" s="200">
        <v>1878992.26</v>
      </c>
      <c r="H26" s="198"/>
    </row>
    <row r="27" spans="1:9" s="187" customFormat="1" x14ac:dyDescent="0.2">
      <c r="A27" s="203" t="s">
        <v>65</v>
      </c>
      <c r="B27" s="197">
        <v>45785</v>
      </c>
      <c r="C27" s="198" t="s">
        <v>658</v>
      </c>
      <c r="D27" s="204" t="s">
        <v>683</v>
      </c>
      <c r="E27" s="199" t="s">
        <v>66</v>
      </c>
      <c r="F27" s="205" t="s">
        <v>91</v>
      </c>
      <c r="G27" s="206">
        <v>11584.81</v>
      </c>
      <c r="H27" s="207"/>
    </row>
    <row r="28" spans="1:9" s="187" customFormat="1" x14ac:dyDescent="0.2">
      <c r="F28" s="189"/>
      <c r="G28" s="188"/>
      <c r="H28" s="189"/>
    </row>
    <row r="29" spans="1:9" s="195" customFormat="1" x14ac:dyDescent="0.2">
      <c r="A29" s="190" t="s">
        <v>59</v>
      </c>
      <c r="B29" s="190" t="s">
        <v>2</v>
      </c>
      <c r="C29" s="191" t="s">
        <v>60</v>
      </c>
      <c r="D29" s="191" t="s">
        <v>61</v>
      </c>
      <c r="E29" s="192" t="s">
        <v>62</v>
      </c>
      <c r="F29" s="192" t="s">
        <v>63</v>
      </c>
      <c r="G29" s="193">
        <f>SUM(G30:G47)</f>
        <v>6964816.8399999989</v>
      </c>
      <c r="H29" s="191" t="s">
        <v>64</v>
      </c>
      <c r="I29" s="194"/>
    </row>
    <row r="30" spans="1:9" s="187" customFormat="1" x14ac:dyDescent="0.2">
      <c r="A30" s="196" t="s">
        <v>65</v>
      </c>
      <c r="B30" s="197">
        <v>45785</v>
      </c>
      <c r="C30" s="198" t="s">
        <v>638</v>
      </c>
      <c r="D30" s="198" t="s">
        <v>639</v>
      </c>
      <c r="E30" s="199" t="s">
        <v>66</v>
      </c>
      <c r="F30" s="199" t="s">
        <v>67</v>
      </c>
      <c r="G30" s="200">
        <v>19.579999999999998</v>
      </c>
      <c r="H30" s="198"/>
    </row>
    <row r="31" spans="1:9" s="187" customFormat="1" x14ac:dyDescent="0.2">
      <c r="A31" s="196" t="s">
        <v>65</v>
      </c>
      <c r="B31" s="197">
        <v>45785</v>
      </c>
      <c r="C31" s="198" t="s">
        <v>638</v>
      </c>
      <c r="D31" s="198" t="s">
        <v>640</v>
      </c>
      <c r="E31" s="199" t="s">
        <v>66</v>
      </c>
      <c r="F31" s="199" t="s">
        <v>69</v>
      </c>
      <c r="G31" s="200">
        <v>88</v>
      </c>
      <c r="H31" s="198"/>
    </row>
    <row r="32" spans="1:9" s="187" customFormat="1" x14ac:dyDescent="0.2">
      <c r="A32" s="196" t="s">
        <v>65</v>
      </c>
      <c r="B32" s="197">
        <v>45785</v>
      </c>
      <c r="C32" s="198" t="s">
        <v>638</v>
      </c>
      <c r="D32" s="198" t="s">
        <v>641</v>
      </c>
      <c r="E32" s="199" t="s">
        <v>66</v>
      </c>
      <c r="F32" s="199" t="s">
        <v>71</v>
      </c>
      <c r="G32" s="200">
        <v>229</v>
      </c>
      <c r="H32" s="198"/>
    </row>
    <row r="33" spans="1:8" s="187" customFormat="1" x14ac:dyDescent="0.2">
      <c r="A33" s="196" t="s">
        <v>65</v>
      </c>
      <c r="B33" s="197">
        <v>45785</v>
      </c>
      <c r="C33" s="198" t="s">
        <v>638</v>
      </c>
      <c r="D33" s="198" t="s">
        <v>642</v>
      </c>
      <c r="E33" s="199" t="s">
        <v>66</v>
      </c>
      <c r="F33" s="199" t="s">
        <v>72</v>
      </c>
      <c r="G33" s="200">
        <v>165</v>
      </c>
      <c r="H33" s="198"/>
    </row>
    <row r="34" spans="1:8" s="187" customFormat="1" x14ac:dyDescent="0.2">
      <c r="A34" s="196" t="s">
        <v>65</v>
      </c>
      <c r="B34" s="197">
        <v>45785</v>
      </c>
      <c r="C34" s="198" t="s">
        <v>638</v>
      </c>
      <c r="D34" s="198" t="s">
        <v>643</v>
      </c>
      <c r="E34" s="199" t="s">
        <v>66</v>
      </c>
      <c r="F34" s="199" t="s">
        <v>88</v>
      </c>
      <c r="G34" s="200">
        <v>1728.19</v>
      </c>
      <c r="H34" s="198"/>
    </row>
    <row r="35" spans="1:8" s="187" customFormat="1" x14ac:dyDescent="0.2">
      <c r="A35" s="196" t="s">
        <v>65</v>
      </c>
      <c r="B35" s="197">
        <v>45785</v>
      </c>
      <c r="C35" s="198" t="s">
        <v>638</v>
      </c>
      <c r="D35" s="198" t="s">
        <v>644</v>
      </c>
      <c r="E35" s="199" t="s">
        <v>66</v>
      </c>
      <c r="F35" s="199" t="s">
        <v>74</v>
      </c>
      <c r="G35" s="200">
        <v>374812.87</v>
      </c>
      <c r="H35" s="198"/>
    </row>
    <row r="36" spans="1:8" s="187" customFormat="1" x14ac:dyDescent="0.2">
      <c r="A36" s="196" t="s">
        <v>65</v>
      </c>
      <c r="B36" s="197">
        <v>45785</v>
      </c>
      <c r="C36" s="198" t="s">
        <v>638</v>
      </c>
      <c r="D36" s="198" t="s">
        <v>645</v>
      </c>
      <c r="E36" s="199" t="s">
        <v>66</v>
      </c>
      <c r="F36" s="199" t="s">
        <v>78</v>
      </c>
      <c r="G36" s="200">
        <v>745</v>
      </c>
      <c r="H36" s="198"/>
    </row>
    <row r="37" spans="1:8" s="187" customFormat="1" x14ac:dyDescent="0.2">
      <c r="A37" s="196" t="s">
        <v>65</v>
      </c>
      <c r="B37" s="197">
        <v>45785</v>
      </c>
      <c r="C37" s="198" t="s">
        <v>638</v>
      </c>
      <c r="D37" s="198" t="s">
        <v>646</v>
      </c>
      <c r="E37" s="199" t="s">
        <v>66</v>
      </c>
      <c r="F37" s="199" t="s">
        <v>87</v>
      </c>
      <c r="G37" s="200">
        <v>3475023.27</v>
      </c>
      <c r="H37" s="198"/>
    </row>
    <row r="38" spans="1:8" s="187" customFormat="1" x14ac:dyDescent="0.2">
      <c r="A38" s="196" t="s">
        <v>65</v>
      </c>
      <c r="B38" s="197">
        <v>45785</v>
      </c>
      <c r="C38" s="198" t="s">
        <v>638</v>
      </c>
      <c r="D38" s="198" t="s">
        <v>647</v>
      </c>
      <c r="E38" s="199" t="s">
        <v>66</v>
      </c>
      <c r="F38" s="199" t="s">
        <v>497</v>
      </c>
      <c r="G38" s="200">
        <v>100.68</v>
      </c>
      <c r="H38" s="198"/>
    </row>
    <row r="39" spans="1:8" s="187" customFormat="1" x14ac:dyDescent="0.2">
      <c r="A39" s="196" t="s">
        <v>65</v>
      </c>
      <c r="B39" s="197">
        <v>45785</v>
      </c>
      <c r="C39" s="198" t="s">
        <v>638</v>
      </c>
      <c r="D39" s="198" t="s">
        <v>648</v>
      </c>
      <c r="E39" s="199" t="s">
        <v>66</v>
      </c>
      <c r="F39" s="199" t="s">
        <v>83</v>
      </c>
      <c r="G39" s="200">
        <v>113705.76</v>
      </c>
      <c r="H39" s="198"/>
    </row>
    <row r="40" spans="1:8" s="187" customFormat="1" x14ac:dyDescent="0.2">
      <c r="A40" s="196" t="s">
        <v>65</v>
      </c>
      <c r="B40" s="197">
        <v>45785</v>
      </c>
      <c r="C40" s="198" t="s">
        <v>638</v>
      </c>
      <c r="D40" s="198" t="s">
        <v>649</v>
      </c>
      <c r="E40" s="199" t="s">
        <v>66</v>
      </c>
      <c r="F40" s="199" t="s">
        <v>83</v>
      </c>
      <c r="G40" s="200">
        <v>7877.86</v>
      </c>
      <c r="H40" s="198"/>
    </row>
    <row r="41" spans="1:8" s="187" customFormat="1" x14ac:dyDescent="0.2">
      <c r="A41" s="196" t="s">
        <v>65</v>
      </c>
      <c r="B41" s="197">
        <v>45785</v>
      </c>
      <c r="C41" s="198" t="s">
        <v>638</v>
      </c>
      <c r="D41" s="198" t="s">
        <v>650</v>
      </c>
      <c r="E41" s="199" t="s">
        <v>66</v>
      </c>
      <c r="F41" s="199" t="s">
        <v>657</v>
      </c>
      <c r="G41" s="200">
        <v>13.09</v>
      </c>
      <c r="H41" s="198"/>
    </row>
    <row r="42" spans="1:8" s="187" customFormat="1" x14ac:dyDescent="0.2">
      <c r="A42" s="196" t="s">
        <v>65</v>
      </c>
      <c r="B42" s="197">
        <v>45785</v>
      </c>
      <c r="C42" s="198" t="s">
        <v>638</v>
      </c>
      <c r="D42" s="198" t="s">
        <v>651</v>
      </c>
      <c r="E42" s="199" t="s">
        <v>66</v>
      </c>
      <c r="F42" s="199" t="s">
        <v>499</v>
      </c>
      <c r="G42" s="200">
        <v>489.55</v>
      </c>
      <c r="H42" s="198"/>
    </row>
    <row r="43" spans="1:8" s="187" customFormat="1" x14ac:dyDescent="0.2">
      <c r="A43" s="196" t="s">
        <v>65</v>
      </c>
      <c r="B43" s="197">
        <v>45785</v>
      </c>
      <c r="C43" s="198" t="s">
        <v>638</v>
      </c>
      <c r="D43" s="198" t="s">
        <v>652</v>
      </c>
      <c r="E43" s="199" t="s">
        <v>66</v>
      </c>
      <c r="F43" s="199" t="s">
        <v>90</v>
      </c>
      <c r="G43" s="200">
        <v>84146</v>
      </c>
      <c r="H43" s="198"/>
    </row>
    <row r="44" spans="1:8" s="187" customFormat="1" x14ac:dyDescent="0.2">
      <c r="A44" s="196" t="s">
        <v>65</v>
      </c>
      <c r="B44" s="197">
        <v>45785</v>
      </c>
      <c r="C44" s="198" t="s">
        <v>638</v>
      </c>
      <c r="D44" s="198" t="s">
        <v>653</v>
      </c>
      <c r="E44" s="201" t="s">
        <v>66</v>
      </c>
      <c r="F44" s="201" t="s">
        <v>87</v>
      </c>
      <c r="G44" s="202">
        <v>2111.9</v>
      </c>
      <c r="H44" s="198"/>
    </row>
    <row r="45" spans="1:8" s="187" customFormat="1" x14ac:dyDescent="0.2">
      <c r="A45" s="196" t="s">
        <v>65</v>
      </c>
      <c r="B45" s="197">
        <v>45785</v>
      </c>
      <c r="C45" s="198" t="s">
        <v>638</v>
      </c>
      <c r="D45" s="198" t="s">
        <v>654</v>
      </c>
      <c r="E45" s="199" t="s">
        <v>66</v>
      </c>
      <c r="F45" s="199" t="s">
        <v>91</v>
      </c>
      <c r="G45" s="200">
        <v>586.63</v>
      </c>
      <c r="H45" s="198"/>
    </row>
    <row r="46" spans="1:8" s="187" customFormat="1" x14ac:dyDescent="0.2">
      <c r="A46" s="196" t="s">
        <v>65</v>
      </c>
      <c r="B46" s="197">
        <v>45785</v>
      </c>
      <c r="C46" s="198" t="s">
        <v>638</v>
      </c>
      <c r="D46" s="198" t="s">
        <v>655</v>
      </c>
      <c r="E46" s="199" t="s">
        <v>66</v>
      </c>
      <c r="F46" s="199" t="s">
        <v>91</v>
      </c>
      <c r="G46" s="200">
        <v>2902387.83</v>
      </c>
      <c r="H46" s="198"/>
    </row>
    <row r="47" spans="1:8" s="187" customFormat="1" x14ac:dyDescent="0.2">
      <c r="A47" s="203" t="s">
        <v>65</v>
      </c>
      <c r="B47" s="197">
        <v>45785</v>
      </c>
      <c r="C47" s="198" t="s">
        <v>638</v>
      </c>
      <c r="D47" s="204" t="s">
        <v>656</v>
      </c>
      <c r="E47" s="199" t="s">
        <v>66</v>
      </c>
      <c r="F47" s="205" t="s">
        <v>91</v>
      </c>
      <c r="G47" s="206">
        <v>586.63</v>
      </c>
      <c r="H47" s="207"/>
    </row>
    <row r="48" spans="1:8" s="187" customFormat="1" x14ac:dyDescent="0.2">
      <c r="F48" s="189"/>
      <c r="G48" s="188"/>
      <c r="H48" s="189"/>
    </row>
    <row r="49" spans="1:9" s="195" customFormat="1" x14ac:dyDescent="0.2">
      <c r="A49" s="190" t="s">
        <v>59</v>
      </c>
      <c r="B49" s="190" t="s">
        <v>2</v>
      </c>
      <c r="C49" s="191" t="s">
        <v>60</v>
      </c>
      <c r="D49" s="191" t="s">
        <v>61</v>
      </c>
      <c r="E49" s="192" t="s">
        <v>62</v>
      </c>
      <c r="F49" s="192" t="s">
        <v>63</v>
      </c>
      <c r="G49" s="193">
        <f>SUM(G50:G52)</f>
        <v>70643.92</v>
      </c>
      <c r="H49" s="191" t="s">
        <v>64</v>
      </c>
      <c r="I49" s="194"/>
    </row>
    <row r="50" spans="1:9" s="187" customFormat="1" x14ac:dyDescent="0.2">
      <c r="A50" s="196" t="s">
        <v>65</v>
      </c>
      <c r="B50" s="197">
        <v>45796</v>
      </c>
      <c r="C50" s="198" t="s">
        <v>688</v>
      </c>
      <c r="D50" s="198" t="s">
        <v>685</v>
      </c>
      <c r="E50" s="199" t="s">
        <v>66</v>
      </c>
      <c r="F50" s="199" t="s">
        <v>92</v>
      </c>
      <c r="G50" s="200">
        <v>18647.45</v>
      </c>
      <c r="H50" s="198"/>
    </row>
    <row r="51" spans="1:9" s="187" customFormat="1" x14ac:dyDescent="0.2">
      <c r="A51" s="196" t="s">
        <v>65</v>
      </c>
      <c r="B51" s="197">
        <v>45796</v>
      </c>
      <c r="C51" s="198" t="s">
        <v>688</v>
      </c>
      <c r="D51" s="198" t="s">
        <v>686</v>
      </c>
      <c r="E51" s="199" t="s">
        <v>66</v>
      </c>
      <c r="F51" s="199" t="s">
        <v>92</v>
      </c>
      <c r="G51" s="200">
        <v>47269.52</v>
      </c>
      <c r="H51" s="198"/>
    </row>
    <row r="52" spans="1:9" s="187" customFormat="1" x14ac:dyDescent="0.2">
      <c r="A52" s="196" t="s">
        <v>65</v>
      </c>
      <c r="B52" s="197">
        <v>45796</v>
      </c>
      <c r="C52" s="198" t="s">
        <v>688</v>
      </c>
      <c r="D52" s="198" t="s">
        <v>687</v>
      </c>
      <c r="E52" s="199" t="s">
        <v>66</v>
      </c>
      <c r="F52" s="199" t="s">
        <v>92</v>
      </c>
      <c r="G52" s="200">
        <v>4726.95</v>
      </c>
      <c r="H52" s="198"/>
    </row>
    <row r="54" spans="1:9" s="195" customFormat="1" x14ac:dyDescent="0.2">
      <c r="A54" s="190" t="s">
        <v>59</v>
      </c>
      <c r="B54" s="190" t="s">
        <v>2</v>
      </c>
      <c r="C54" s="191" t="s">
        <v>60</v>
      </c>
      <c r="D54" s="191" t="s">
        <v>61</v>
      </c>
      <c r="E54" s="192" t="s">
        <v>62</v>
      </c>
      <c r="F54" s="192" t="s">
        <v>63</v>
      </c>
      <c r="G54" s="193">
        <f>SUM(G55:G79)</f>
        <v>19672890.949999999</v>
      </c>
      <c r="H54" s="191" t="s">
        <v>64</v>
      </c>
      <c r="I54" s="194"/>
    </row>
    <row r="55" spans="1:9" s="187" customFormat="1" x14ac:dyDescent="0.2">
      <c r="A55" s="196" t="s">
        <v>65</v>
      </c>
      <c r="B55" s="197">
        <v>45811</v>
      </c>
      <c r="C55" s="198" t="s">
        <v>689</v>
      </c>
      <c r="D55" s="198" t="s">
        <v>690</v>
      </c>
      <c r="E55" s="199" t="s">
        <v>66</v>
      </c>
      <c r="F55" s="199" t="s">
        <v>67</v>
      </c>
      <c r="G55" s="200">
        <v>19.579999999999998</v>
      </c>
      <c r="H55" s="198"/>
    </row>
    <row r="56" spans="1:9" s="187" customFormat="1" x14ac:dyDescent="0.2">
      <c r="A56" s="196" t="s">
        <v>65</v>
      </c>
      <c r="B56" s="197">
        <v>45811</v>
      </c>
      <c r="C56" s="198" t="s">
        <v>689</v>
      </c>
      <c r="D56" s="198" t="s">
        <v>691</v>
      </c>
      <c r="E56" s="199" t="s">
        <v>66</v>
      </c>
      <c r="F56" s="199" t="s">
        <v>68</v>
      </c>
      <c r="G56" s="200">
        <v>176</v>
      </c>
      <c r="H56" s="198"/>
    </row>
    <row r="57" spans="1:9" s="187" customFormat="1" x14ac:dyDescent="0.2">
      <c r="A57" s="196" t="s">
        <v>65</v>
      </c>
      <c r="B57" s="197">
        <v>45811</v>
      </c>
      <c r="C57" s="198" t="s">
        <v>689</v>
      </c>
      <c r="D57" s="198" t="s">
        <v>692</v>
      </c>
      <c r="E57" s="199" t="s">
        <v>66</v>
      </c>
      <c r="F57" s="199" t="s">
        <v>70</v>
      </c>
      <c r="G57" s="200">
        <v>20475.73</v>
      </c>
      <c r="H57" s="198"/>
    </row>
    <row r="58" spans="1:9" s="187" customFormat="1" x14ac:dyDescent="0.2">
      <c r="A58" s="196" t="s">
        <v>65</v>
      </c>
      <c r="B58" s="197">
        <v>45811</v>
      </c>
      <c r="C58" s="198" t="s">
        <v>689</v>
      </c>
      <c r="D58" s="198" t="s">
        <v>693</v>
      </c>
      <c r="E58" s="199" t="s">
        <v>66</v>
      </c>
      <c r="F58" s="199" t="s">
        <v>71</v>
      </c>
      <c r="G58" s="200">
        <v>229</v>
      </c>
      <c r="H58" s="198"/>
    </row>
    <row r="59" spans="1:9" s="187" customFormat="1" x14ac:dyDescent="0.2">
      <c r="A59" s="196" t="s">
        <v>65</v>
      </c>
      <c r="B59" s="197">
        <v>45811</v>
      </c>
      <c r="C59" s="198" t="s">
        <v>689</v>
      </c>
      <c r="D59" s="198" t="s">
        <v>694</v>
      </c>
      <c r="E59" s="199" t="s">
        <v>66</v>
      </c>
      <c r="F59" s="199" t="s">
        <v>72</v>
      </c>
      <c r="G59" s="200">
        <v>150</v>
      </c>
      <c r="H59" s="198"/>
    </row>
    <row r="60" spans="1:9" s="187" customFormat="1" x14ac:dyDescent="0.2">
      <c r="A60" s="196" t="s">
        <v>65</v>
      </c>
      <c r="B60" s="197">
        <v>45811</v>
      </c>
      <c r="C60" s="198" t="s">
        <v>689</v>
      </c>
      <c r="D60" s="198" t="s">
        <v>695</v>
      </c>
      <c r="E60" s="199" t="s">
        <v>66</v>
      </c>
      <c r="F60" s="199" t="s">
        <v>73</v>
      </c>
      <c r="G60" s="200">
        <v>9189.23</v>
      </c>
      <c r="H60" s="198"/>
    </row>
    <row r="61" spans="1:9" s="187" customFormat="1" x14ac:dyDescent="0.2">
      <c r="A61" s="196" t="s">
        <v>65</v>
      </c>
      <c r="B61" s="197">
        <v>45811</v>
      </c>
      <c r="C61" s="198" t="s">
        <v>689</v>
      </c>
      <c r="D61" s="198" t="s">
        <v>696</v>
      </c>
      <c r="E61" s="199" t="s">
        <v>66</v>
      </c>
      <c r="F61" s="199" t="s">
        <v>74</v>
      </c>
      <c r="G61" s="200">
        <v>726316.13</v>
      </c>
      <c r="H61" s="198"/>
    </row>
    <row r="62" spans="1:9" s="187" customFormat="1" x14ac:dyDescent="0.2">
      <c r="A62" s="196" t="s">
        <v>65</v>
      </c>
      <c r="B62" s="197">
        <v>45811</v>
      </c>
      <c r="C62" s="198" t="s">
        <v>689</v>
      </c>
      <c r="D62" s="198" t="s">
        <v>697</v>
      </c>
      <c r="E62" s="199" t="s">
        <v>66</v>
      </c>
      <c r="F62" s="199" t="s">
        <v>74</v>
      </c>
      <c r="G62" s="200">
        <v>377425.2</v>
      </c>
      <c r="H62" s="198"/>
    </row>
    <row r="63" spans="1:9" s="187" customFormat="1" x14ac:dyDescent="0.2">
      <c r="A63" s="196" t="s">
        <v>65</v>
      </c>
      <c r="B63" s="197">
        <v>45811</v>
      </c>
      <c r="C63" s="198" t="s">
        <v>689</v>
      </c>
      <c r="D63" s="198" t="s">
        <v>698</v>
      </c>
      <c r="E63" s="199" t="s">
        <v>66</v>
      </c>
      <c r="F63" s="199" t="s">
        <v>76</v>
      </c>
      <c r="G63" s="200">
        <v>302.39</v>
      </c>
      <c r="H63" s="198"/>
    </row>
    <row r="64" spans="1:9" s="187" customFormat="1" x14ac:dyDescent="0.2">
      <c r="A64" s="196" t="s">
        <v>65</v>
      </c>
      <c r="B64" s="197">
        <v>45811</v>
      </c>
      <c r="C64" s="198" t="s">
        <v>689</v>
      </c>
      <c r="D64" s="198" t="s">
        <v>699</v>
      </c>
      <c r="E64" s="199" t="s">
        <v>66</v>
      </c>
      <c r="F64" s="199" t="s">
        <v>78</v>
      </c>
      <c r="G64" s="200">
        <v>745</v>
      </c>
      <c r="H64" s="198"/>
    </row>
    <row r="65" spans="1:9" s="187" customFormat="1" x14ac:dyDescent="0.2">
      <c r="A65" s="196" t="s">
        <v>65</v>
      </c>
      <c r="B65" s="197">
        <v>45811</v>
      </c>
      <c r="C65" s="198" t="s">
        <v>689</v>
      </c>
      <c r="D65" s="198" t="s">
        <v>700</v>
      </c>
      <c r="E65" s="199" t="s">
        <v>66</v>
      </c>
      <c r="F65" s="199" t="s">
        <v>79</v>
      </c>
      <c r="G65" s="200">
        <v>84</v>
      </c>
      <c r="H65" s="198"/>
    </row>
    <row r="66" spans="1:9" s="187" customFormat="1" x14ac:dyDescent="0.2">
      <c r="A66" s="196" t="s">
        <v>65</v>
      </c>
      <c r="B66" s="197">
        <v>45811</v>
      </c>
      <c r="C66" s="198" t="s">
        <v>689</v>
      </c>
      <c r="D66" s="198" t="s">
        <v>701</v>
      </c>
      <c r="E66" s="199" t="s">
        <v>66</v>
      </c>
      <c r="F66" s="199" t="s">
        <v>81</v>
      </c>
      <c r="G66" s="200">
        <v>4218.3599999999997</v>
      </c>
      <c r="H66" s="208"/>
    </row>
    <row r="67" spans="1:9" s="187" customFormat="1" x14ac:dyDescent="0.2">
      <c r="A67" s="196" t="s">
        <v>65</v>
      </c>
      <c r="B67" s="197">
        <v>45811</v>
      </c>
      <c r="C67" s="198" t="s">
        <v>689</v>
      </c>
      <c r="D67" s="198" t="s">
        <v>702</v>
      </c>
      <c r="E67" s="199" t="s">
        <v>66</v>
      </c>
      <c r="F67" s="199" t="s">
        <v>497</v>
      </c>
      <c r="G67" s="200">
        <v>100.68</v>
      </c>
      <c r="H67" s="198"/>
    </row>
    <row r="68" spans="1:9" s="187" customFormat="1" x14ac:dyDescent="0.2">
      <c r="A68" s="196" t="s">
        <v>65</v>
      </c>
      <c r="B68" s="197">
        <v>45811</v>
      </c>
      <c r="C68" s="198" t="s">
        <v>689</v>
      </c>
      <c r="D68" s="198" t="s">
        <v>703</v>
      </c>
      <c r="E68" s="199" t="s">
        <v>66</v>
      </c>
      <c r="F68" s="199" t="s">
        <v>82</v>
      </c>
      <c r="G68" s="200">
        <v>3184483.76</v>
      </c>
      <c r="H68" s="198"/>
    </row>
    <row r="69" spans="1:9" s="187" customFormat="1" x14ac:dyDescent="0.2">
      <c r="A69" s="196" t="s">
        <v>65</v>
      </c>
      <c r="B69" s="197">
        <v>45811</v>
      </c>
      <c r="C69" s="198" t="s">
        <v>689</v>
      </c>
      <c r="D69" s="198" t="s">
        <v>704</v>
      </c>
      <c r="E69" s="199" t="s">
        <v>66</v>
      </c>
      <c r="F69" s="201" t="s">
        <v>83</v>
      </c>
      <c r="G69" s="202">
        <v>24212.87</v>
      </c>
      <c r="H69" s="198"/>
    </row>
    <row r="70" spans="1:9" s="187" customFormat="1" x14ac:dyDescent="0.2">
      <c r="A70" s="196" t="s">
        <v>65</v>
      </c>
      <c r="B70" s="197">
        <v>45811</v>
      </c>
      <c r="C70" s="198" t="s">
        <v>689</v>
      </c>
      <c r="D70" s="198" t="s">
        <v>705</v>
      </c>
      <c r="E70" s="199" t="s">
        <v>66</v>
      </c>
      <c r="F70" s="199" t="s">
        <v>83</v>
      </c>
      <c r="G70" s="200">
        <v>9639.31</v>
      </c>
      <c r="H70" s="198"/>
    </row>
    <row r="71" spans="1:9" s="187" customFormat="1" x14ac:dyDescent="0.2">
      <c r="A71" s="196" t="s">
        <v>65</v>
      </c>
      <c r="B71" s="197">
        <v>45811</v>
      </c>
      <c r="C71" s="198" t="s">
        <v>689</v>
      </c>
      <c r="D71" s="198" t="s">
        <v>706</v>
      </c>
      <c r="E71" s="199" t="s">
        <v>66</v>
      </c>
      <c r="F71" s="199" t="s">
        <v>84</v>
      </c>
      <c r="G71" s="200">
        <v>177417.22</v>
      </c>
      <c r="H71" s="198"/>
    </row>
    <row r="72" spans="1:9" s="187" customFormat="1" x14ac:dyDescent="0.2">
      <c r="A72" s="203" t="s">
        <v>65</v>
      </c>
      <c r="B72" s="197">
        <v>45811</v>
      </c>
      <c r="C72" s="198" t="s">
        <v>689</v>
      </c>
      <c r="D72" s="204" t="s">
        <v>707</v>
      </c>
      <c r="E72" s="199" t="s">
        <v>66</v>
      </c>
      <c r="F72" s="205" t="s">
        <v>499</v>
      </c>
      <c r="G72" s="206">
        <v>524.39</v>
      </c>
      <c r="H72" s="207"/>
    </row>
    <row r="73" spans="1:9" s="209" customFormat="1" x14ac:dyDescent="0.2">
      <c r="A73" s="196" t="s">
        <v>65</v>
      </c>
      <c r="B73" s="197">
        <v>45811</v>
      </c>
      <c r="C73" s="198" t="s">
        <v>689</v>
      </c>
      <c r="D73" s="198" t="s">
        <v>708</v>
      </c>
      <c r="E73" s="199" t="s">
        <v>66</v>
      </c>
      <c r="F73" s="199" t="s">
        <v>85</v>
      </c>
      <c r="G73" s="200">
        <v>320.23</v>
      </c>
      <c r="H73" s="208"/>
    </row>
    <row r="74" spans="1:9" s="211" customFormat="1" x14ac:dyDescent="0.2">
      <c r="A74" s="196" t="s">
        <v>65</v>
      </c>
      <c r="B74" s="197">
        <v>45811</v>
      </c>
      <c r="C74" s="198" t="s">
        <v>689</v>
      </c>
      <c r="D74" s="198" t="s">
        <v>709</v>
      </c>
      <c r="E74" s="199" t="s">
        <v>66</v>
      </c>
      <c r="F74" s="199" t="s">
        <v>86</v>
      </c>
      <c r="G74" s="200">
        <v>441.62</v>
      </c>
      <c r="H74" s="210"/>
    </row>
    <row r="75" spans="1:9" s="187" customFormat="1" x14ac:dyDescent="0.2">
      <c r="A75" s="196" t="s">
        <v>65</v>
      </c>
      <c r="B75" s="197">
        <v>45811</v>
      </c>
      <c r="C75" s="198" t="s">
        <v>689</v>
      </c>
      <c r="D75" s="198" t="s">
        <v>710</v>
      </c>
      <c r="E75" s="199" t="s">
        <v>66</v>
      </c>
      <c r="F75" s="199" t="s">
        <v>87</v>
      </c>
      <c r="G75" s="200">
        <v>8903816.0700000003</v>
      </c>
      <c r="H75" s="216"/>
    </row>
    <row r="76" spans="1:9" s="187" customFormat="1" x14ac:dyDescent="0.2">
      <c r="A76" s="196" t="s">
        <v>65</v>
      </c>
      <c r="B76" s="197">
        <v>45811</v>
      </c>
      <c r="C76" s="198" t="s">
        <v>689</v>
      </c>
      <c r="D76" s="198" t="s">
        <v>711</v>
      </c>
      <c r="E76" s="199" t="s">
        <v>66</v>
      </c>
      <c r="F76" s="199" t="s">
        <v>87</v>
      </c>
      <c r="G76" s="200">
        <v>1238.32</v>
      </c>
      <c r="H76" s="198"/>
    </row>
    <row r="77" spans="1:9" s="187" customFormat="1" x14ac:dyDescent="0.2">
      <c r="A77" s="196" t="s">
        <v>65</v>
      </c>
      <c r="B77" s="197">
        <v>45811</v>
      </c>
      <c r="C77" s="198" t="s">
        <v>689</v>
      </c>
      <c r="D77" s="198" t="s">
        <v>712</v>
      </c>
      <c r="E77" s="199" t="s">
        <v>66</v>
      </c>
      <c r="F77" s="199" t="s">
        <v>91</v>
      </c>
      <c r="G77" s="200">
        <v>2799215.24</v>
      </c>
      <c r="H77" s="198"/>
    </row>
    <row r="78" spans="1:9" s="187" customFormat="1" x14ac:dyDescent="0.2">
      <c r="A78" s="196" t="s">
        <v>65</v>
      </c>
      <c r="B78" s="197">
        <v>45811</v>
      </c>
      <c r="C78" s="198" t="s">
        <v>689</v>
      </c>
      <c r="D78" s="198" t="s">
        <v>713</v>
      </c>
      <c r="E78" s="199" t="s">
        <v>66</v>
      </c>
      <c r="F78" s="199" t="s">
        <v>91</v>
      </c>
      <c r="G78" s="200">
        <v>2799215.24</v>
      </c>
      <c r="H78" s="217"/>
    </row>
    <row r="79" spans="1:9" s="187" customFormat="1" x14ac:dyDescent="0.2">
      <c r="A79" s="196" t="s">
        <v>65</v>
      </c>
      <c r="B79" s="197">
        <v>45811</v>
      </c>
      <c r="C79" s="198" t="s">
        <v>689</v>
      </c>
      <c r="D79" s="218" t="s">
        <v>714</v>
      </c>
      <c r="E79" s="199" t="s">
        <v>66</v>
      </c>
      <c r="F79" s="201" t="s">
        <v>91</v>
      </c>
      <c r="G79" s="202">
        <v>632935.38</v>
      </c>
      <c r="H79" s="219"/>
      <c r="I79" s="220"/>
    </row>
    <row r="81" spans="1:9" s="195" customFormat="1" x14ac:dyDescent="0.2">
      <c r="A81" s="190" t="s">
        <v>59</v>
      </c>
      <c r="B81" s="190" t="s">
        <v>2</v>
      </c>
      <c r="C81" s="191" t="s">
        <v>60</v>
      </c>
      <c r="D81" s="191" t="s">
        <v>61</v>
      </c>
      <c r="E81" s="192" t="s">
        <v>62</v>
      </c>
      <c r="F81" s="192" t="s">
        <v>63</v>
      </c>
      <c r="G81" s="193">
        <f>SUM(G82:G94)</f>
        <v>23414462.379999995</v>
      </c>
      <c r="H81" s="191" t="s">
        <v>64</v>
      </c>
      <c r="I81" s="194"/>
    </row>
    <row r="82" spans="1:9" s="187" customFormat="1" x14ac:dyDescent="0.2">
      <c r="A82" s="196" t="s">
        <v>65</v>
      </c>
      <c r="B82" s="197">
        <v>45811</v>
      </c>
      <c r="C82" s="198" t="s">
        <v>715</v>
      </c>
      <c r="D82" s="198" t="s">
        <v>716</v>
      </c>
      <c r="E82" s="199" t="s">
        <v>66</v>
      </c>
      <c r="F82" s="199" t="s">
        <v>69</v>
      </c>
      <c r="G82" s="200">
        <v>88</v>
      </c>
      <c r="H82" s="198"/>
    </row>
    <row r="83" spans="1:9" s="187" customFormat="1" x14ac:dyDescent="0.2">
      <c r="A83" s="196" t="s">
        <v>65</v>
      </c>
      <c r="B83" s="197">
        <v>45811</v>
      </c>
      <c r="C83" s="198" t="s">
        <v>715</v>
      </c>
      <c r="D83" s="198" t="s">
        <v>717</v>
      </c>
      <c r="E83" s="199" t="s">
        <v>66</v>
      </c>
      <c r="F83" s="199" t="s">
        <v>88</v>
      </c>
      <c r="G83" s="200">
        <v>1664.16</v>
      </c>
      <c r="H83" s="198"/>
    </row>
    <row r="84" spans="1:9" s="187" customFormat="1" x14ac:dyDescent="0.2">
      <c r="A84" s="196" t="s">
        <v>65</v>
      </c>
      <c r="B84" s="197">
        <v>45811</v>
      </c>
      <c r="C84" s="198" t="s">
        <v>715</v>
      </c>
      <c r="D84" s="198" t="s">
        <v>718</v>
      </c>
      <c r="E84" s="199" t="s">
        <v>66</v>
      </c>
      <c r="F84" s="199" t="s">
        <v>75</v>
      </c>
      <c r="G84" s="200">
        <v>42269.67</v>
      </c>
      <c r="H84" s="198"/>
    </row>
    <row r="85" spans="1:9" s="187" customFormat="1" x14ac:dyDescent="0.2">
      <c r="A85" s="196" t="s">
        <v>65</v>
      </c>
      <c r="B85" s="197">
        <v>45811</v>
      </c>
      <c r="C85" s="198" t="s">
        <v>715</v>
      </c>
      <c r="D85" s="198" t="s">
        <v>719</v>
      </c>
      <c r="E85" s="199" t="s">
        <v>66</v>
      </c>
      <c r="F85" s="199" t="s">
        <v>77</v>
      </c>
      <c r="G85" s="200">
        <v>413510.35</v>
      </c>
      <c r="H85" s="198"/>
    </row>
    <row r="86" spans="1:9" s="187" customFormat="1" x14ac:dyDescent="0.2">
      <c r="A86" s="196" t="s">
        <v>65</v>
      </c>
      <c r="B86" s="197">
        <v>45811</v>
      </c>
      <c r="C86" s="198" t="s">
        <v>715</v>
      </c>
      <c r="D86" s="198" t="s">
        <v>720</v>
      </c>
      <c r="E86" s="199" t="s">
        <v>66</v>
      </c>
      <c r="F86" s="199" t="s">
        <v>80</v>
      </c>
      <c r="G86" s="200">
        <v>8868233.9600000009</v>
      </c>
      <c r="H86" s="198"/>
    </row>
    <row r="87" spans="1:9" s="187" customFormat="1" x14ac:dyDescent="0.2">
      <c r="A87" s="196" t="s">
        <v>65</v>
      </c>
      <c r="B87" s="197">
        <v>45811</v>
      </c>
      <c r="C87" s="198" t="s">
        <v>715</v>
      </c>
      <c r="D87" s="198" t="s">
        <v>721</v>
      </c>
      <c r="E87" s="199" t="s">
        <v>66</v>
      </c>
      <c r="F87" s="199" t="s">
        <v>87</v>
      </c>
      <c r="G87" s="200">
        <v>3616616.69</v>
      </c>
      <c r="H87" s="198"/>
    </row>
    <row r="88" spans="1:9" s="187" customFormat="1" x14ac:dyDescent="0.2">
      <c r="A88" s="196" t="s">
        <v>65</v>
      </c>
      <c r="B88" s="197">
        <v>45811</v>
      </c>
      <c r="C88" s="198" t="s">
        <v>715</v>
      </c>
      <c r="D88" s="198" t="s">
        <v>722</v>
      </c>
      <c r="E88" s="199" t="s">
        <v>66</v>
      </c>
      <c r="F88" s="199" t="s">
        <v>83</v>
      </c>
      <c r="G88" s="200">
        <v>115787.61</v>
      </c>
      <c r="H88" s="198"/>
    </row>
    <row r="89" spans="1:9" s="187" customFormat="1" x14ac:dyDescent="0.2">
      <c r="A89" s="212" t="s">
        <v>65</v>
      </c>
      <c r="B89" s="213">
        <v>45811</v>
      </c>
      <c r="C89" s="207" t="s">
        <v>715</v>
      </c>
      <c r="D89" s="207" t="s">
        <v>723</v>
      </c>
      <c r="E89" s="214" t="s">
        <v>66</v>
      </c>
      <c r="F89" s="214" t="s">
        <v>89</v>
      </c>
      <c r="G89" s="215">
        <v>103.93</v>
      </c>
      <c r="H89" s="207" t="s">
        <v>729</v>
      </c>
    </row>
    <row r="90" spans="1:9" s="187" customFormat="1" x14ac:dyDescent="0.2">
      <c r="A90" s="196" t="s">
        <v>65</v>
      </c>
      <c r="B90" s="197">
        <v>45811</v>
      </c>
      <c r="C90" s="198" t="s">
        <v>715</v>
      </c>
      <c r="D90" s="198" t="s">
        <v>724</v>
      </c>
      <c r="E90" s="199" t="s">
        <v>66</v>
      </c>
      <c r="F90" s="199" t="s">
        <v>93</v>
      </c>
      <c r="G90" s="200">
        <v>13.09</v>
      </c>
      <c r="H90" s="198"/>
    </row>
    <row r="91" spans="1:9" s="187" customFormat="1" x14ac:dyDescent="0.2">
      <c r="A91" s="196" t="s">
        <v>65</v>
      </c>
      <c r="B91" s="197">
        <v>45811</v>
      </c>
      <c r="C91" s="198" t="s">
        <v>715</v>
      </c>
      <c r="D91" s="198" t="s">
        <v>725</v>
      </c>
      <c r="E91" s="199" t="s">
        <v>66</v>
      </c>
      <c r="F91" s="199" t="s">
        <v>90</v>
      </c>
      <c r="G91" s="200">
        <v>85902</v>
      </c>
      <c r="H91" s="198"/>
    </row>
    <row r="92" spans="1:9" s="187" customFormat="1" x14ac:dyDescent="0.2">
      <c r="A92" s="196" t="s">
        <v>65</v>
      </c>
      <c r="B92" s="197">
        <v>45811</v>
      </c>
      <c r="C92" s="198" t="s">
        <v>715</v>
      </c>
      <c r="D92" s="198" t="s">
        <v>726</v>
      </c>
      <c r="E92" s="199" t="s">
        <v>66</v>
      </c>
      <c r="F92" s="199" t="s">
        <v>91</v>
      </c>
      <c r="G92" s="200">
        <v>5474104.2699999996</v>
      </c>
      <c r="H92" s="198"/>
    </row>
    <row r="93" spans="1:9" s="187" customFormat="1" x14ac:dyDescent="0.2">
      <c r="A93" s="196" t="s">
        <v>65</v>
      </c>
      <c r="B93" s="197">
        <v>45811</v>
      </c>
      <c r="C93" s="198" t="s">
        <v>715</v>
      </c>
      <c r="D93" s="198" t="s">
        <v>727</v>
      </c>
      <c r="E93" s="199" t="s">
        <v>66</v>
      </c>
      <c r="F93" s="199" t="s">
        <v>91</v>
      </c>
      <c r="G93" s="200">
        <v>2902346.22</v>
      </c>
      <c r="H93" s="208"/>
    </row>
    <row r="94" spans="1:9" s="187" customFormat="1" x14ac:dyDescent="0.2">
      <c r="A94" s="196" t="s">
        <v>65</v>
      </c>
      <c r="B94" s="197">
        <v>45811</v>
      </c>
      <c r="C94" s="198" t="s">
        <v>715</v>
      </c>
      <c r="D94" s="198" t="s">
        <v>728</v>
      </c>
      <c r="E94" s="199" t="s">
        <v>66</v>
      </c>
      <c r="F94" s="199" t="s">
        <v>91</v>
      </c>
      <c r="G94" s="200">
        <v>1893822.43</v>
      </c>
      <c r="H94" s="198"/>
    </row>
    <row r="96" spans="1:9" s="195" customFormat="1" x14ac:dyDescent="0.2">
      <c r="A96" s="190" t="s">
        <v>59</v>
      </c>
      <c r="B96" s="190" t="s">
        <v>2</v>
      </c>
      <c r="C96" s="191" t="s">
        <v>60</v>
      </c>
      <c r="D96" s="191" t="s">
        <v>61</v>
      </c>
      <c r="E96" s="192" t="s">
        <v>62</v>
      </c>
      <c r="F96" s="192" t="s">
        <v>63</v>
      </c>
      <c r="G96" s="193">
        <f>G97</f>
        <v>45000.24</v>
      </c>
      <c r="H96" s="191" t="s">
        <v>64</v>
      </c>
    </row>
    <row r="97" spans="1:8" s="187" customFormat="1" x14ac:dyDescent="0.2">
      <c r="A97" s="196" t="s">
        <v>65</v>
      </c>
      <c r="B97" s="197">
        <v>45821</v>
      </c>
      <c r="C97" s="221" t="s">
        <v>730</v>
      </c>
      <c r="D97" s="198" t="s">
        <v>731</v>
      </c>
      <c r="E97" s="199" t="s">
        <v>66</v>
      </c>
      <c r="F97" s="223" t="s">
        <v>91</v>
      </c>
      <c r="G97" s="200">
        <v>45000.24</v>
      </c>
      <c r="H97" s="198"/>
    </row>
    <row r="99" spans="1:8" s="195" customFormat="1" x14ac:dyDescent="0.2">
      <c r="A99" s="190" t="s">
        <v>59</v>
      </c>
      <c r="B99" s="190" t="s">
        <v>2</v>
      </c>
      <c r="C99" s="191" t="s">
        <v>60</v>
      </c>
      <c r="D99" s="191" t="s">
        <v>61</v>
      </c>
      <c r="E99" s="192" t="s">
        <v>62</v>
      </c>
      <c r="F99" s="192" t="s">
        <v>63</v>
      </c>
      <c r="G99" s="193">
        <f>SUM(G100:G102)</f>
        <v>68491.710000000006</v>
      </c>
      <c r="H99" s="191" t="s">
        <v>64</v>
      </c>
    </row>
    <row r="100" spans="1:8" s="187" customFormat="1" x14ac:dyDescent="0.2">
      <c r="A100" s="196" t="s">
        <v>65</v>
      </c>
      <c r="B100" s="197">
        <v>45825</v>
      </c>
      <c r="C100" s="221" t="s">
        <v>735</v>
      </c>
      <c r="D100" s="198" t="s">
        <v>732</v>
      </c>
      <c r="E100" s="199" t="s">
        <v>66</v>
      </c>
      <c r="F100" s="248" t="s">
        <v>92</v>
      </c>
      <c r="G100" s="200">
        <v>18077.61</v>
      </c>
      <c r="H100" s="198"/>
    </row>
    <row r="101" spans="1:8" s="187" customFormat="1" x14ac:dyDescent="0.2">
      <c r="A101" s="196" t="s">
        <v>65</v>
      </c>
      <c r="B101" s="197">
        <v>45825</v>
      </c>
      <c r="C101" s="221" t="s">
        <v>735</v>
      </c>
      <c r="D101" s="198" t="s">
        <v>733</v>
      </c>
      <c r="E101" s="199" t="s">
        <v>66</v>
      </c>
      <c r="F101" s="248" t="s">
        <v>92</v>
      </c>
      <c r="G101" s="200">
        <v>45831</v>
      </c>
      <c r="H101" s="198"/>
    </row>
    <row r="102" spans="1:8" s="187" customFormat="1" x14ac:dyDescent="0.2">
      <c r="A102" s="196" t="s">
        <v>65</v>
      </c>
      <c r="B102" s="197">
        <v>45825</v>
      </c>
      <c r="C102" s="221" t="s">
        <v>735</v>
      </c>
      <c r="D102" s="198" t="s">
        <v>734</v>
      </c>
      <c r="E102" s="199" t="s">
        <v>66</v>
      </c>
      <c r="F102" s="248" t="s">
        <v>92</v>
      </c>
      <c r="G102" s="200">
        <v>4583.1000000000004</v>
      </c>
      <c r="H102" s="198"/>
    </row>
    <row r="104" spans="1:8" s="195" customFormat="1" x14ac:dyDescent="0.2">
      <c r="A104" s="190" t="s">
        <v>59</v>
      </c>
      <c r="B104" s="190" t="s">
        <v>2</v>
      </c>
      <c r="C104" s="191" t="s">
        <v>60</v>
      </c>
      <c r="D104" s="191" t="s">
        <v>61</v>
      </c>
      <c r="E104" s="192" t="s">
        <v>62</v>
      </c>
      <c r="F104" s="192" t="s">
        <v>63</v>
      </c>
      <c r="G104" s="193">
        <f>G105</f>
        <v>333.78</v>
      </c>
      <c r="H104" s="191" t="s">
        <v>64</v>
      </c>
    </row>
    <row r="105" spans="1:8" s="187" customFormat="1" x14ac:dyDescent="0.2">
      <c r="A105" s="196" t="s">
        <v>65</v>
      </c>
      <c r="B105" s="197">
        <v>45838</v>
      </c>
      <c r="C105" s="221" t="s">
        <v>736</v>
      </c>
      <c r="D105" s="198" t="s">
        <v>737</v>
      </c>
      <c r="E105" s="199" t="s">
        <v>66</v>
      </c>
      <c r="F105" s="248" t="s">
        <v>87</v>
      </c>
      <c r="G105" s="200">
        <v>333.78</v>
      </c>
      <c r="H105" s="198"/>
    </row>
  </sheetData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7A94-C1DC-4026-8550-9488AF5EC79A}">
  <dimension ref="A2:I107"/>
  <sheetViews>
    <sheetView topLeftCell="A97" zoomScale="130" zoomScaleNormal="130" workbookViewId="0">
      <selection activeCell="E112" sqref="E112"/>
    </sheetView>
  </sheetViews>
  <sheetFormatPr defaultRowHeight="11.25" x14ac:dyDescent="0.2"/>
  <cols>
    <col min="1" max="1" width="10.28515625" style="224" customWidth="1"/>
    <col min="2" max="2" width="11.5703125" style="224" customWidth="1"/>
    <col min="3" max="3" width="11.140625" style="224" customWidth="1"/>
    <col min="4" max="4" width="13.140625" style="224" customWidth="1"/>
    <col min="5" max="5" width="17" style="224" customWidth="1"/>
    <col min="6" max="6" width="58.85546875" style="249" bestFit="1" customWidth="1"/>
    <col min="7" max="7" width="12.42578125" style="224" customWidth="1"/>
    <col min="8" max="8" width="11.85546875" style="224" customWidth="1"/>
    <col min="9" max="9" width="10" style="224" customWidth="1"/>
    <col min="10" max="256" width="9.140625" style="224"/>
    <col min="257" max="257" width="10.28515625" style="224" customWidth="1"/>
    <col min="258" max="258" width="11.5703125" style="224" customWidth="1"/>
    <col min="259" max="259" width="11.140625" style="224" customWidth="1"/>
    <col min="260" max="260" width="13.140625" style="224" customWidth="1"/>
    <col min="261" max="261" width="17" style="224" customWidth="1"/>
    <col min="262" max="262" width="56.42578125" style="224" customWidth="1"/>
    <col min="263" max="263" width="10.5703125" style="224" customWidth="1"/>
    <col min="264" max="264" width="11.85546875" style="224" customWidth="1"/>
    <col min="265" max="265" width="10" style="224" customWidth="1"/>
    <col min="266" max="512" width="9.140625" style="224"/>
    <col min="513" max="513" width="10.28515625" style="224" customWidth="1"/>
    <col min="514" max="514" width="11.5703125" style="224" customWidth="1"/>
    <col min="515" max="515" width="11.140625" style="224" customWidth="1"/>
    <col min="516" max="516" width="13.140625" style="224" customWidth="1"/>
    <col min="517" max="517" width="17" style="224" customWidth="1"/>
    <col min="518" max="518" width="56.42578125" style="224" customWidth="1"/>
    <col min="519" max="519" width="10.5703125" style="224" customWidth="1"/>
    <col min="520" max="520" width="11.85546875" style="224" customWidth="1"/>
    <col min="521" max="521" width="10" style="224" customWidth="1"/>
    <col min="522" max="768" width="9.140625" style="224"/>
    <col min="769" max="769" width="10.28515625" style="224" customWidth="1"/>
    <col min="770" max="770" width="11.5703125" style="224" customWidth="1"/>
    <col min="771" max="771" width="11.140625" style="224" customWidth="1"/>
    <col min="772" max="772" width="13.140625" style="224" customWidth="1"/>
    <col min="773" max="773" width="17" style="224" customWidth="1"/>
    <col min="774" max="774" width="56.42578125" style="224" customWidth="1"/>
    <col min="775" max="775" width="10.5703125" style="224" customWidth="1"/>
    <col min="776" max="776" width="11.85546875" style="224" customWidth="1"/>
    <col min="777" max="777" width="10" style="224" customWidth="1"/>
    <col min="778" max="1024" width="9.140625" style="224"/>
    <col min="1025" max="1025" width="10.28515625" style="224" customWidth="1"/>
    <col min="1026" max="1026" width="11.5703125" style="224" customWidth="1"/>
    <col min="1027" max="1027" width="11.140625" style="224" customWidth="1"/>
    <col min="1028" max="1028" width="13.140625" style="224" customWidth="1"/>
    <col min="1029" max="1029" width="17" style="224" customWidth="1"/>
    <col min="1030" max="1030" width="56.42578125" style="224" customWidth="1"/>
    <col min="1031" max="1031" width="10.5703125" style="224" customWidth="1"/>
    <col min="1032" max="1032" width="11.85546875" style="224" customWidth="1"/>
    <col min="1033" max="1033" width="10" style="224" customWidth="1"/>
    <col min="1034" max="1280" width="9.140625" style="224"/>
    <col min="1281" max="1281" width="10.28515625" style="224" customWidth="1"/>
    <col min="1282" max="1282" width="11.5703125" style="224" customWidth="1"/>
    <col min="1283" max="1283" width="11.140625" style="224" customWidth="1"/>
    <col min="1284" max="1284" width="13.140625" style="224" customWidth="1"/>
    <col min="1285" max="1285" width="17" style="224" customWidth="1"/>
    <col min="1286" max="1286" width="56.42578125" style="224" customWidth="1"/>
    <col min="1287" max="1287" width="10.5703125" style="224" customWidth="1"/>
    <col min="1288" max="1288" width="11.85546875" style="224" customWidth="1"/>
    <col min="1289" max="1289" width="10" style="224" customWidth="1"/>
    <col min="1290" max="1536" width="9.140625" style="224"/>
    <col min="1537" max="1537" width="10.28515625" style="224" customWidth="1"/>
    <col min="1538" max="1538" width="11.5703125" style="224" customWidth="1"/>
    <col min="1539" max="1539" width="11.140625" style="224" customWidth="1"/>
    <col min="1540" max="1540" width="13.140625" style="224" customWidth="1"/>
    <col min="1541" max="1541" width="17" style="224" customWidth="1"/>
    <col min="1542" max="1542" width="56.42578125" style="224" customWidth="1"/>
    <col min="1543" max="1543" width="10.5703125" style="224" customWidth="1"/>
    <col min="1544" max="1544" width="11.85546875" style="224" customWidth="1"/>
    <col min="1545" max="1545" width="10" style="224" customWidth="1"/>
    <col min="1546" max="1792" width="9.140625" style="224"/>
    <col min="1793" max="1793" width="10.28515625" style="224" customWidth="1"/>
    <col min="1794" max="1794" width="11.5703125" style="224" customWidth="1"/>
    <col min="1795" max="1795" width="11.140625" style="224" customWidth="1"/>
    <col min="1796" max="1796" width="13.140625" style="224" customWidth="1"/>
    <col min="1797" max="1797" width="17" style="224" customWidth="1"/>
    <col min="1798" max="1798" width="56.42578125" style="224" customWidth="1"/>
    <col min="1799" max="1799" width="10.5703125" style="224" customWidth="1"/>
    <col min="1800" max="1800" width="11.85546875" style="224" customWidth="1"/>
    <col min="1801" max="1801" width="10" style="224" customWidth="1"/>
    <col min="1802" max="2048" width="9.140625" style="224"/>
    <col min="2049" max="2049" width="10.28515625" style="224" customWidth="1"/>
    <col min="2050" max="2050" width="11.5703125" style="224" customWidth="1"/>
    <col min="2051" max="2051" width="11.140625" style="224" customWidth="1"/>
    <col min="2052" max="2052" width="13.140625" style="224" customWidth="1"/>
    <col min="2053" max="2053" width="17" style="224" customWidth="1"/>
    <col min="2054" max="2054" width="56.42578125" style="224" customWidth="1"/>
    <col min="2055" max="2055" width="10.5703125" style="224" customWidth="1"/>
    <col min="2056" max="2056" width="11.85546875" style="224" customWidth="1"/>
    <col min="2057" max="2057" width="10" style="224" customWidth="1"/>
    <col min="2058" max="2304" width="9.140625" style="224"/>
    <col min="2305" max="2305" width="10.28515625" style="224" customWidth="1"/>
    <col min="2306" max="2306" width="11.5703125" style="224" customWidth="1"/>
    <col min="2307" max="2307" width="11.140625" style="224" customWidth="1"/>
    <col min="2308" max="2308" width="13.140625" style="224" customWidth="1"/>
    <col min="2309" max="2309" width="17" style="224" customWidth="1"/>
    <col min="2310" max="2310" width="56.42578125" style="224" customWidth="1"/>
    <col min="2311" max="2311" width="10.5703125" style="224" customWidth="1"/>
    <col min="2312" max="2312" width="11.85546875" style="224" customWidth="1"/>
    <col min="2313" max="2313" width="10" style="224" customWidth="1"/>
    <col min="2314" max="2560" width="9.140625" style="224"/>
    <col min="2561" max="2561" width="10.28515625" style="224" customWidth="1"/>
    <col min="2562" max="2562" width="11.5703125" style="224" customWidth="1"/>
    <col min="2563" max="2563" width="11.140625" style="224" customWidth="1"/>
    <col min="2564" max="2564" width="13.140625" style="224" customWidth="1"/>
    <col min="2565" max="2565" width="17" style="224" customWidth="1"/>
    <col min="2566" max="2566" width="56.42578125" style="224" customWidth="1"/>
    <col min="2567" max="2567" width="10.5703125" style="224" customWidth="1"/>
    <col min="2568" max="2568" width="11.85546875" style="224" customWidth="1"/>
    <col min="2569" max="2569" width="10" style="224" customWidth="1"/>
    <col min="2570" max="2816" width="9.140625" style="224"/>
    <col min="2817" max="2817" width="10.28515625" style="224" customWidth="1"/>
    <col min="2818" max="2818" width="11.5703125" style="224" customWidth="1"/>
    <col min="2819" max="2819" width="11.140625" style="224" customWidth="1"/>
    <col min="2820" max="2820" width="13.140625" style="224" customWidth="1"/>
    <col min="2821" max="2821" width="17" style="224" customWidth="1"/>
    <col min="2822" max="2822" width="56.42578125" style="224" customWidth="1"/>
    <col min="2823" max="2823" width="10.5703125" style="224" customWidth="1"/>
    <col min="2824" max="2824" width="11.85546875" style="224" customWidth="1"/>
    <col min="2825" max="2825" width="10" style="224" customWidth="1"/>
    <col min="2826" max="3072" width="9.140625" style="224"/>
    <col min="3073" max="3073" width="10.28515625" style="224" customWidth="1"/>
    <col min="3074" max="3074" width="11.5703125" style="224" customWidth="1"/>
    <col min="3075" max="3075" width="11.140625" style="224" customWidth="1"/>
    <col min="3076" max="3076" width="13.140625" style="224" customWidth="1"/>
    <col min="3077" max="3077" width="17" style="224" customWidth="1"/>
    <col min="3078" max="3078" width="56.42578125" style="224" customWidth="1"/>
    <col min="3079" max="3079" width="10.5703125" style="224" customWidth="1"/>
    <col min="3080" max="3080" width="11.85546875" style="224" customWidth="1"/>
    <col min="3081" max="3081" width="10" style="224" customWidth="1"/>
    <col min="3082" max="3328" width="9.140625" style="224"/>
    <col min="3329" max="3329" width="10.28515625" style="224" customWidth="1"/>
    <col min="3330" max="3330" width="11.5703125" style="224" customWidth="1"/>
    <col min="3331" max="3331" width="11.140625" style="224" customWidth="1"/>
    <col min="3332" max="3332" width="13.140625" style="224" customWidth="1"/>
    <col min="3333" max="3333" width="17" style="224" customWidth="1"/>
    <col min="3334" max="3334" width="56.42578125" style="224" customWidth="1"/>
    <col min="3335" max="3335" width="10.5703125" style="224" customWidth="1"/>
    <col min="3336" max="3336" width="11.85546875" style="224" customWidth="1"/>
    <col min="3337" max="3337" width="10" style="224" customWidth="1"/>
    <col min="3338" max="3584" width="9.140625" style="224"/>
    <col min="3585" max="3585" width="10.28515625" style="224" customWidth="1"/>
    <col min="3586" max="3586" width="11.5703125" style="224" customWidth="1"/>
    <col min="3587" max="3587" width="11.140625" style="224" customWidth="1"/>
    <col min="3588" max="3588" width="13.140625" style="224" customWidth="1"/>
    <col min="3589" max="3589" width="17" style="224" customWidth="1"/>
    <col min="3590" max="3590" width="56.42578125" style="224" customWidth="1"/>
    <col min="3591" max="3591" width="10.5703125" style="224" customWidth="1"/>
    <col min="3592" max="3592" width="11.85546875" style="224" customWidth="1"/>
    <col min="3593" max="3593" width="10" style="224" customWidth="1"/>
    <col min="3594" max="3840" width="9.140625" style="224"/>
    <col min="3841" max="3841" width="10.28515625" style="224" customWidth="1"/>
    <col min="3842" max="3842" width="11.5703125" style="224" customWidth="1"/>
    <col min="3843" max="3843" width="11.140625" style="224" customWidth="1"/>
    <col min="3844" max="3844" width="13.140625" style="224" customWidth="1"/>
    <col min="3845" max="3845" width="17" style="224" customWidth="1"/>
    <col min="3846" max="3846" width="56.42578125" style="224" customWidth="1"/>
    <col min="3847" max="3847" width="10.5703125" style="224" customWidth="1"/>
    <col min="3848" max="3848" width="11.85546875" style="224" customWidth="1"/>
    <col min="3849" max="3849" width="10" style="224" customWidth="1"/>
    <col min="3850" max="4096" width="9.140625" style="224"/>
    <col min="4097" max="4097" width="10.28515625" style="224" customWidth="1"/>
    <col min="4098" max="4098" width="11.5703125" style="224" customWidth="1"/>
    <col min="4099" max="4099" width="11.140625" style="224" customWidth="1"/>
    <col min="4100" max="4100" width="13.140625" style="224" customWidth="1"/>
    <col min="4101" max="4101" width="17" style="224" customWidth="1"/>
    <col min="4102" max="4102" width="56.42578125" style="224" customWidth="1"/>
    <col min="4103" max="4103" width="10.5703125" style="224" customWidth="1"/>
    <col min="4104" max="4104" width="11.85546875" style="224" customWidth="1"/>
    <col min="4105" max="4105" width="10" style="224" customWidth="1"/>
    <col min="4106" max="4352" width="9.140625" style="224"/>
    <col min="4353" max="4353" width="10.28515625" style="224" customWidth="1"/>
    <col min="4354" max="4354" width="11.5703125" style="224" customWidth="1"/>
    <col min="4355" max="4355" width="11.140625" style="224" customWidth="1"/>
    <col min="4356" max="4356" width="13.140625" style="224" customWidth="1"/>
    <col min="4357" max="4357" width="17" style="224" customWidth="1"/>
    <col min="4358" max="4358" width="56.42578125" style="224" customWidth="1"/>
    <col min="4359" max="4359" width="10.5703125" style="224" customWidth="1"/>
    <col min="4360" max="4360" width="11.85546875" style="224" customWidth="1"/>
    <col min="4361" max="4361" width="10" style="224" customWidth="1"/>
    <col min="4362" max="4608" width="9.140625" style="224"/>
    <col min="4609" max="4609" width="10.28515625" style="224" customWidth="1"/>
    <col min="4610" max="4610" width="11.5703125" style="224" customWidth="1"/>
    <col min="4611" max="4611" width="11.140625" style="224" customWidth="1"/>
    <col min="4612" max="4612" width="13.140625" style="224" customWidth="1"/>
    <col min="4613" max="4613" width="17" style="224" customWidth="1"/>
    <col min="4614" max="4614" width="56.42578125" style="224" customWidth="1"/>
    <col min="4615" max="4615" width="10.5703125" style="224" customWidth="1"/>
    <col min="4616" max="4616" width="11.85546875" style="224" customWidth="1"/>
    <col min="4617" max="4617" width="10" style="224" customWidth="1"/>
    <col min="4618" max="4864" width="9.140625" style="224"/>
    <col min="4865" max="4865" width="10.28515625" style="224" customWidth="1"/>
    <col min="4866" max="4866" width="11.5703125" style="224" customWidth="1"/>
    <col min="4867" max="4867" width="11.140625" style="224" customWidth="1"/>
    <col min="4868" max="4868" width="13.140625" style="224" customWidth="1"/>
    <col min="4869" max="4869" width="17" style="224" customWidth="1"/>
    <col min="4870" max="4870" width="56.42578125" style="224" customWidth="1"/>
    <col min="4871" max="4871" width="10.5703125" style="224" customWidth="1"/>
    <col min="4872" max="4872" width="11.85546875" style="224" customWidth="1"/>
    <col min="4873" max="4873" width="10" style="224" customWidth="1"/>
    <col min="4874" max="5120" width="9.140625" style="224"/>
    <col min="5121" max="5121" width="10.28515625" style="224" customWidth="1"/>
    <col min="5122" max="5122" width="11.5703125" style="224" customWidth="1"/>
    <col min="5123" max="5123" width="11.140625" style="224" customWidth="1"/>
    <col min="5124" max="5124" width="13.140625" style="224" customWidth="1"/>
    <col min="5125" max="5125" width="17" style="224" customWidth="1"/>
    <col min="5126" max="5126" width="56.42578125" style="224" customWidth="1"/>
    <col min="5127" max="5127" width="10.5703125" style="224" customWidth="1"/>
    <col min="5128" max="5128" width="11.85546875" style="224" customWidth="1"/>
    <col min="5129" max="5129" width="10" style="224" customWidth="1"/>
    <col min="5130" max="5376" width="9.140625" style="224"/>
    <col min="5377" max="5377" width="10.28515625" style="224" customWidth="1"/>
    <col min="5378" max="5378" width="11.5703125" style="224" customWidth="1"/>
    <col min="5379" max="5379" width="11.140625" style="224" customWidth="1"/>
    <col min="5380" max="5380" width="13.140625" style="224" customWidth="1"/>
    <col min="5381" max="5381" width="17" style="224" customWidth="1"/>
    <col min="5382" max="5382" width="56.42578125" style="224" customWidth="1"/>
    <col min="5383" max="5383" width="10.5703125" style="224" customWidth="1"/>
    <col min="5384" max="5384" width="11.85546875" style="224" customWidth="1"/>
    <col min="5385" max="5385" width="10" style="224" customWidth="1"/>
    <col min="5386" max="5632" width="9.140625" style="224"/>
    <col min="5633" max="5633" width="10.28515625" style="224" customWidth="1"/>
    <col min="5634" max="5634" width="11.5703125" style="224" customWidth="1"/>
    <col min="5635" max="5635" width="11.140625" style="224" customWidth="1"/>
    <col min="5636" max="5636" width="13.140625" style="224" customWidth="1"/>
    <col min="5637" max="5637" width="17" style="224" customWidth="1"/>
    <col min="5638" max="5638" width="56.42578125" style="224" customWidth="1"/>
    <col min="5639" max="5639" width="10.5703125" style="224" customWidth="1"/>
    <col min="5640" max="5640" width="11.85546875" style="224" customWidth="1"/>
    <col min="5641" max="5641" width="10" style="224" customWidth="1"/>
    <col min="5642" max="5888" width="9.140625" style="224"/>
    <col min="5889" max="5889" width="10.28515625" style="224" customWidth="1"/>
    <col min="5890" max="5890" width="11.5703125" style="224" customWidth="1"/>
    <col min="5891" max="5891" width="11.140625" style="224" customWidth="1"/>
    <col min="5892" max="5892" width="13.140625" style="224" customWidth="1"/>
    <col min="5893" max="5893" width="17" style="224" customWidth="1"/>
    <col min="5894" max="5894" width="56.42578125" style="224" customWidth="1"/>
    <col min="5895" max="5895" width="10.5703125" style="224" customWidth="1"/>
    <col min="5896" max="5896" width="11.85546875" style="224" customWidth="1"/>
    <col min="5897" max="5897" width="10" style="224" customWidth="1"/>
    <col min="5898" max="6144" width="9.140625" style="224"/>
    <col min="6145" max="6145" width="10.28515625" style="224" customWidth="1"/>
    <col min="6146" max="6146" width="11.5703125" style="224" customWidth="1"/>
    <col min="6147" max="6147" width="11.140625" style="224" customWidth="1"/>
    <col min="6148" max="6148" width="13.140625" style="224" customWidth="1"/>
    <col min="6149" max="6149" width="17" style="224" customWidth="1"/>
    <col min="6150" max="6150" width="56.42578125" style="224" customWidth="1"/>
    <col min="6151" max="6151" width="10.5703125" style="224" customWidth="1"/>
    <col min="6152" max="6152" width="11.85546875" style="224" customWidth="1"/>
    <col min="6153" max="6153" width="10" style="224" customWidth="1"/>
    <col min="6154" max="6400" width="9.140625" style="224"/>
    <col min="6401" max="6401" width="10.28515625" style="224" customWidth="1"/>
    <col min="6402" max="6402" width="11.5703125" style="224" customWidth="1"/>
    <col min="6403" max="6403" width="11.140625" style="224" customWidth="1"/>
    <col min="6404" max="6404" width="13.140625" style="224" customWidth="1"/>
    <col min="6405" max="6405" width="17" style="224" customWidth="1"/>
    <col min="6406" max="6406" width="56.42578125" style="224" customWidth="1"/>
    <col min="6407" max="6407" width="10.5703125" style="224" customWidth="1"/>
    <col min="6408" max="6408" width="11.85546875" style="224" customWidth="1"/>
    <col min="6409" max="6409" width="10" style="224" customWidth="1"/>
    <col min="6410" max="6656" width="9.140625" style="224"/>
    <col min="6657" max="6657" width="10.28515625" style="224" customWidth="1"/>
    <col min="6658" max="6658" width="11.5703125" style="224" customWidth="1"/>
    <col min="6659" max="6659" width="11.140625" style="224" customWidth="1"/>
    <col min="6660" max="6660" width="13.140625" style="224" customWidth="1"/>
    <col min="6661" max="6661" width="17" style="224" customWidth="1"/>
    <col min="6662" max="6662" width="56.42578125" style="224" customWidth="1"/>
    <col min="6663" max="6663" width="10.5703125" style="224" customWidth="1"/>
    <col min="6664" max="6664" width="11.85546875" style="224" customWidth="1"/>
    <col min="6665" max="6665" width="10" style="224" customWidth="1"/>
    <col min="6666" max="6912" width="9.140625" style="224"/>
    <col min="6913" max="6913" width="10.28515625" style="224" customWidth="1"/>
    <col min="6914" max="6914" width="11.5703125" style="224" customWidth="1"/>
    <col min="6915" max="6915" width="11.140625" style="224" customWidth="1"/>
    <col min="6916" max="6916" width="13.140625" style="224" customWidth="1"/>
    <col min="6917" max="6917" width="17" style="224" customWidth="1"/>
    <col min="6918" max="6918" width="56.42578125" style="224" customWidth="1"/>
    <col min="6919" max="6919" width="10.5703125" style="224" customWidth="1"/>
    <col min="6920" max="6920" width="11.85546875" style="224" customWidth="1"/>
    <col min="6921" max="6921" width="10" style="224" customWidth="1"/>
    <col min="6922" max="7168" width="9.140625" style="224"/>
    <col min="7169" max="7169" width="10.28515625" style="224" customWidth="1"/>
    <col min="7170" max="7170" width="11.5703125" style="224" customWidth="1"/>
    <col min="7171" max="7171" width="11.140625" style="224" customWidth="1"/>
    <col min="7172" max="7172" width="13.140625" style="224" customWidth="1"/>
    <col min="7173" max="7173" width="17" style="224" customWidth="1"/>
    <col min="7174" max="7174" width="56.42578125" style="224" customWidth="1"/>
    <col min="7175" max="7175" width="10.5703125" style="224" customWidth="1"/>
    <col min="7176" max="7176" width="11.85546875" style="224" customWidth="1"/>
    <col min="7177" max="7177" width="10" style="224" customWidth="1"/>
    <col min="7178" max="7424" width="9.140625" style="224"/>
    <col min="7425" max="7425" width="10.28515625" style="224" customWidth="1"/>
    <col min="7426" max="7426" width="11.5703125" style="224" customWidth="1"/>
    <col min="7427" max="7427" width="11.140625" style="224" customWidth="1"/>
    <col min="7428" max="7428" width="13.140625" style="224" customWidth="1"/>
    <col min="7429" max="7429" width="17" style="224" customWidth="1"/>
    <col min="7430" max="7430" width="56.42578125" style="224" customWidth="1"/>
    <col min="7431" max="7431" width="10.5703125" style="224" customWidth="1"/>
    <col min="7432" max="7432" width="11.85546875" style="224" customWidth="1"/>
    <col min="7433" max="7433" width="10" style="224" customWidth="1"/>
    <col min="7434" max="7680" width="9.140625" style="224"/>
    <col min="7681" max="7681" width="10.28515625" style="224" customWidth="1"/>
    <col min="7682" max="7682" width="11.5703125" style="224" customWidth="1"/>
    <col min="7683" max="7683" width="11.140625" style="224" customWidth="1"/>
    <col min="7684" max="7684" width="13.140625" style="224" customWidth="1"/>
    <col min="7685" max="7685" width="17" style="224" customWidth="1"/>
    <col min="7686" max="7686" width="56.42578125" style="224" customWidth="1"/>
    <col min="7687" max="7687" width="10.5703125" style="224" customWidth="1"/>
    <col min="7688" max="7688" width="11.85546875" style="224" customWidth="1"/>
    <col min="7689" max="7689" width="10" style="224" customWidth="1"/>
    <col min="7690" max="7936" width="9.140625" style="224"/>
    <col min="7937" max="7937" width="10.28515625" style="224" customWidth="1"/>
    <col min="7938" max="7938" width="11.5703125" style="224" customWidth="1"/>
    <col min="7939" max="7939" width="11.140625" style="224" customWidth="1"/>
    <col min="7940" max="7940" width="13.140625" style="224" customWidth="1"/>
    <col min="7941" max="7941" width="17" style="224" customWidth="1"/>
    <col min="7942" max="7942" width="56.42578125" style="224" customWidth="1"/>
    <col min="7943" max="7943" width="10.5703125" style="224" customWidth="1"/>
    <col min="7944" max="7944" width="11.85546875" style="224" customWidth="1"/>
    <col min="7945" max="7945" width="10" style="224" customWidth="1"/>
    <col min="7946" max="8192" width="9.140625" style="224"/>
    <col min="8193" max="8193" width="10.28515625" style="224" customWidth="1"/>
    <col min="8194" max="8194" width="11.5703125" style="224" customWidth="1"/>
    <col min="8195" max="8195" width="11.140625" style="224" customWidth="1"/>
    <col min="8196" max="8196" width="13.140625" style="224" customWidth="1"/>
    <col min="8197" max="8197" width="17" style="224" customWidth="1"/>
    <col min="8198" max="8198" width="56.42578125" style="224" customWidth="1"/>
    <col min="8199" max="8199" width="10.5703125" style="224" customWidth="1"/>
    <col min="8200" max="8200" width="11.85546875" style="224" customWidth="1"/>
    <col min="8201" max="8201" width="10" style="224" customWidth="1"/>
    <col min="8202" max="8448" width="9.140625" style="224"/>
    <col min="8449" max="8449" width="10.28515625" style="224" customWidth="1"/>
    <col min="8450" max="8450" width="11.5703125" style="224" customWidth="1"/>
    <col min="8451" max="8451" width="11.140625" style="224" customWidth="1"/>
    <col min="8452" max="8452" width="13.140625" style="224" customWidth="1"/>
    <col min="8453" max="8453" width="17" style="224" customWidth="1"/>
    <col min="8454" max="8454" width="56.42578125" style="224" customWidth="1"/>
    <col min="8455" max="8455" width="10.5703125" style="224" customWidth="1"/>
    <col min="8456" max="8456" width="11.85546875" style="224" customWidth="1"/>
    <col min="8457" max="8457" width="10" style="224" customWidth="1"/>
    <col min="8458" max="8704" width="9.140625" style="224"/>
    <col min="8705" max="8705" width="10.28515625" style="224" customWidth="1"/>
    <col min="8706" max="8706" width="11.5703125" style="224" customWidth="1"/>
    <col min="8707" max="8707" width="11.140625" style="224" customWidth="1"/>
    <col min="8708" max="8708" width="13.140625" style="224" customWidth="1"/>
    <col min="8709" max="8709" width="17" style="224" customWidth="1"/>
    <col min="8710" max="8710" width="56.42578125" style="224" customWidth="1"/>
    <col min="8711" max="8711" width="10.5703125" style="224" customWidth="1"/>
    <col min="8712" max="8712" width="11.85546875" style="224" customWidth="1"/>
    <col min="8713" max="8713" width="10" style="224" customWidth="1"/>
    <col min="8714" max="8960" width="9.140625" style="224"/>
    <col min="8961" max="8961" width="10.28515625" style="224" customWidth="1"/>
    <col min="8962" max="8962" width="11.5703125" style="224" customWidth="1"/>
    <col min="8963" max="8963" width="11.140625" style="224" customWidth="1"/>
    <col min="8964" max="8964" width="13.140625" style="224" customWidth="1"/>
    <col min="8965" max="8965" width="17" style="224" customWidth="1"/>
    <col min="8966" max="8966" width="56.42578125" style="224" customWidth="1"/>
    <col min="8967" max="8967" width="10.5703125" style="224" customWidth="1"/>
    <col min="8968" max="8968" width="11.85546875" style="224" customWidth="1"/>
    <col min="8969" max="8969" width="10" style="224" customWidth="1"/>
    <col min="8970" max="9216" width="9.140625" style="224"/>
    <col min="9217" max="9217" width="10.28515625" style="224" customWidth="1"/>
    <col min="9218" max="9218" width="11.5703125" style="224" customWidth="1"/>
    <col min="9219" max="9219" width="11.140625" style="224" customWidth="1"/>
    <col min="9220" max="9220" width="13.140625" style="224" customWidth="1"/>
    <col min="9221" max="9221" width="17" style="224" customWidth="1"/>
    <col min="9222" max="9222" width="56.42578125" style="224" customWidth="1"/>
    <col min="9223" max="9223" width="10.5703125" style="224" customWidth="1"/>
    <col min="9224" max="9224" width="11.85546875" style="224" customWidth="1"/>
    <col min="9225" max="9225" width="10" style="224" customWidth="1"/>
    <col min="9226" max="9472" width="9.140625" style="224"/>
    <col min="9473" max="9473" width="10.28515625" style="224" customWidth="1"/>
    <col min="9474" max="9474" width="11.5703125" style="224" customWidth="1"/>
    <col min="9475" max="9475" width="11.140625" style="224" customWidth="1"/>
    <col min="9476" max="9476" width="13.140625" style="224" customWidth="1"/>
    <col min="9477" max="9477" width="17" style="224" customWidth="1"/>
    <col min="9478" max="9478" width="56.42578125" style="224" customWidth="1"/>
    <col min="9479" max="9479" width="10.5703125" style="224" customWidth="1"/>
    <col min="9480" max="9480" width="11.85546875" style="224" customWidth="1"/>
    <col min="9481" max="9481" width="10" style="224" customWidth="1"/>
    <col min="9482" max="9728" width="9.140625" style="224"/>
    <col min="9729" max="9729" width="10.28515625" style="224" customWidth="1"/>
    <col min="9730" max="9730" width="11.5703125" style="224" customWidth="1"/>
    <col min="9731" max="9731" width="11.140625" style="224" customWidth="1"/>
    <col min="9732" max="9732" width="13.140625" style="224" customWidth="1"/>
    <col min="9733" max="9733" width="17" style="224" customWidth="1"/>
    <col min="9734" max="9734" width="56.42578125" style="224" customWidth="1"/>
    <col min="9735" max="9735" width="10.5703125" style="224" customWidth="1"/>
    <col min="9736" max="9736" width="11.85546875" style="224" customWidth="1"/>
    <col min="9737" max="9737" width="10" style="224" customWidth="1"/>
    <col min="9738" max="9984" width="9.140625" style="224"/>
    <col min="9985" max="9985" width="10.28515625" style="224" customWidth="1"/>
    <col min="9986" max="9986" width="11.5703125" style="224" customWidth="1"/>
    <col min="9987" max="9987" width="11.140625" style="224" customWidth="1"/>
    <col min="9988" max="9988" width="13.140625" style="224" customWidth="1"/>
    <col min="9989" max="9989" width="17" style="224" customWidth="1"/>
    <col min="9990" max="9990" width="56.42578125" style="224" customWidth="1"/>
    <col min="9991" max="9991" width="10.5703125" style="224" customWidth="1"/>
    <col min="9992" max="9992" width="11.85546875" style="224" customWidth="1"/>
    <col min="9993" max="9993" width="10" style="224" customWidth="1"/>
    <col min="9994" max="10240" width="9.140625" style="224"/>
    <col min="10241" max="10241" width="10.28515625" style="224" customWidth="1"/>
    <col min="10242" max="10242" width="11.5703125" style="224" customWidth="1"/>
    <col min="10243" max="10243" width="11.140625" style="224" customWidth="1"/>
    <col min="10244" max="10244" width="13.140625" style="224" customWidth="1"/>
    <col min="10245" max="10245" width="17" style="224" customWidth="1"/>
    <col min="10246" max="10246" width="56.42578125" style="224" customWidth="1"/>
    <col min="10247" max="10247" width="10.5703125" style="224" customWidth="1"/>
    <col min="10248" max="10248" width="11.85546875" style="224" customWidth="1"/>
    <col min="10249" max="10249" width="10" style="224" customWidth="1"/>
    <col min="10250" max="10496" width="9.140625" style="224"/>
    <col min="10497" max="10497" width="10.28515625" style="224" customWidth="1"/>
    <col min="10498" max="10498" width="11.5703125" style="224" customWidth="1"/>
    <col min="10499" max="10499" width="11.140625" style="224" customWidth="1"/>
    <col min="10500" max="10500" width="13.140625" style="224" customWidth="1"/>
    <col min="10501" max="10501" width="17" style="224" customWidth="1"/>
    <col min="10502" max="10502" width="56.42578125" style="224" customWidth="1"/>
    <col min="10503" max="10503" width="10.5703125" style="224" customWidth="1"/>
    <col min="10504" max="10504" width="11.85546875" style="224" customWidth="1"/>
    <col min="10505" max="10505" width="10" style="224" customWidth="1"/>
    <col min="10506" max="10752" width="9.140625" style="224"/>
    <col min="10753" max="10753" width="10.28515625" style="224" customWidth="1"/>
    <col min="10754" max="10754" width="11.5703125" style="224" customWidth="1"/>
    <col min="10755" max="10755" width="11.140625" style="224" customWidth="1"/>
    <col min="10756" max="10756" width="13.140625" style="224" customWidth="1"/>
    <col min="10757" max="10757" width="17" style="224" customWidth="1"/>
    <col min="10758" max="10758" width="56.42578125" style="224" customWidth="1"/>
    <col min="10759" max="10759" width="10.5703125" style="224" customWidth="1"/>
    <col min="10760" max="10760" width="11.85546875" style="224" customWidth="1"/>
    <col min="10761" max="10761" width="10" style="224" customWidth="1"/>
    <col min="10762" max="11008" width="9.140625" style="224"/>
    <col min="11009" max="11009" width="10.28515625" style="224" customWidth="1"/>
    <col min="11010" max="11010" width="11.5703125" style="224" customWidth="1"/>
    <col min="11011" max="11011" width="11.140625" style="224" customWidth="1"/>
    <col min="11012" max="11012" width="13.140625" style="224" customWidth="1"/>
    <col min="11013" max="11013" width="17" style="224" customWidth="1"/>
    <col min="11014" max="11014" width="56.42578125" style="224" customWidth="1"/>
    <col min="11015" max="11015" width="10.5703125" style="224" customWidth="1"/>
    <col min="11016" max="11016" width="11.85546875" style="224" customWidth="1"/>
    <col min="11017" max="11017" width="10" style="224" customWidth="1"/>
    <col min="11018" max="11264" width="9.140625" style="224"/>
    <col min="11265" max="11265" width="10.28515625" style="224" customWidth="1"/>
    <col min="11266" max="11266" width="11.5703125" style="224" customWidth="1"/>
    <col min="11267" max="11267" width="11.140625" style="224" customWidth="1"/>
    <col min="11268" max="11268" width="13.140625" style="224" customWidth="1"/>
    <col min="11269" max="11269" width="17" style="224" customWidth="1"/>
    <col min="11270" max="11270" width="56.42578125" style="224" customWidth="1"/>
    <col min="11271" max="11271" width="10.5703125" style="224" customWidth="1"/>
    <col min="11272" max="11272" width="11.85546875" style="224" customWidth="1"/>
    <col min="11273" max="11273" width="10" style="224" customWidth="1"/>
    <col min="11274" max="11520" width="9.140625" style="224"/>
    <col min="11521" max="11521" width="10.28515625" style="224" customWidth="1"/>
    <col min="11522" max="11522" width="11.5703125" style="224" customWidth="1"/>
    <col min="11523" max="11523" width="11.140625" style="224" customWidth="1"/>
    <col min="11524" max="11524" width="13.140625" style="224" customWidth="1"/>
    <col min="11525" max="11525" width="17" style="224" customWidth="1"/>
    <col min="11526" max="11526" width="56.42578125" style="224" customWidth="1"/>
    <col min="11527" max="11527" width="10.5703125" style="224" customWidth="1"/>
    <col min="11528" max="11528" width="11.85546875" style="224" customWidth="1"/>
    <col min="11529" max="11529" width="10" style="224" customWidth="1"/>
    <col min="11530" max="11776" width="9.140625" style="224"/>
    <col min="11777" max="11777" width="10.28515625" style="224" customWidth="1"/>
    <col min="11778" max="11778" width="11.5703125" style="224" customWidth="1"/>
    <col min="11779" max="11779" width="11.140625" style="224" customWidth="1"/>
    <col min="11780" max="11780" width="13.140625" style="224" customWidth="1"/>
    <col min="11781" max="11781" width="17" style="224" customWidth="1"/>
    <col min="11782" max="11782" width="56.42578125" style="224" customWidth="1"/>
    <col min="11783" max="11783" width="10.5703125" style="224" customWidth="1"/>
    <col min="11784" max="11784" width="11.85546875" style="224" customWidth="1"/>
    <col min="11785" max="11785" width="10" style="224" customWidth="1"/>
    <col min="11786" max="12032" width="9.140625" style="224"/>
    <col min="12033" max="12033" width="10.28515625" style="224" customWidth="1"/>
    <col min="12034" max="12034" width="11.5703125" style="224" customWidth="1"/>
    <col min="12035" max="12035" width="11.140625" style="224" customWidth="1"/>
    <col min="12036" max="12036" width="13.140625" style="224" customWidth="1"/>
    <col min="12037" max="12037" width="17" style="224" customWidth="1"/>
    <col min="12038" max="12038" width="56.42578125" style="224" customWidth="1"/>
    <col min="12039" max="12039" width="10.5703125" style="224" customWidth="1"/>
    <col min="12040" max="12040" width="11.85546875" style="224" customWidth="1"/>
    <col min="12041" max="12041" width="10" style="224" customWidth="1"/>
    <col min="12042" max="12288" width="9.140625" style="224"/>
    <col min="12289" max="12289" width="10.28515625" style="224" customWidth="1"/>
    <col min="12290" max="12290" width="11.5703125" style="224" customWidth="1"/>
    <col min="12291" max="12291" width="11.140625" style="224" customWidth="1"/>
    <col min="12292" max="12292" width="13.140625" style="224" customWidth="1"/>
    <col min="12293" max="12293" width="17" style="224" customWidth="1"/>
    <col min="12294" max="12294" width="56.42578125" style="224" customWidth="1"/>
    <col min="12295" max="12295" width="10.5703125" style="224" customWidth="1"/>
    <col min="12296" max="12296" width="11.85546875" style="224" customWidth="1"/>
    <col min="12297" max="12297" width="10" style="224" customWidth="1"/>
    <col min="12298" max="12544" width="9.140625" style="224"/>
    <col min="12545" max="12545" width="10.28515625" style="224" customWidth="1"/>
    <col min="12546" max="12546" width="11.5703125" style="224" customWidth="1"/>
    <col min="12547" max="12547" width="11.140625" style="224" customWidth="1"/>
    <col min="12548" max="12548" width="13.140625" style="224" customWidth="1"/>
    <col min="12549" max="12549" width="17" style="224" customWidth="1"/>
    <col min="12550" max="12550" width="56.42578125" style="224" customWidth="1"/>
    <col min="12551" max="12551" width="10.5703125" style="224" customWidth="1"/>
    <col min="12552" max="12552" width="11.85546875" style="224" customWidth="1"/>
    <col min="12553" max="12553" width="10" style="224" customWidth="1"/>
    <col min="12554" max="12800" width="9.140625" style="224"/>
    <col min="12801" max="12801" width="10.28515625" style="224" customWidth="1"/>
    <col min="12802" max="12802" width="11.5703125" style="224" customWidth="1"/>
    <col min="12803" max="12803" width="11.140625" style="224" customWidth="1"/>
    <col min="12804" max="12804" width="13.140625" style="224" customWidth="1"/>
    <col min="12805" max="12805" width="17" style="224" customWidth="1"/>
    <col min="12806" max="12806" width="56.42578125" style="224" customWidth="1"/>
    <col min="12807" max="12807" width="10.5703125" style="224" customWidth="1"/>
    <col min="12808" max="12808" width="11.85546875" style="224" customWidth="1"/>
    <col min="12809" max="12809" width="10" style="224" customWidth="1"/>
    <col min="12810" max="13056" width="9.140625" style="224"/>
    <col min="13057" max="13057" width="10.28515625" style="224" customWidth="1"/>
    <col min="13058" max="13058" width="11.5703125" style="224" customWidth="1"/>
    <col min="13059" max="13059" width="11.140625" style="224" customWidth="1"/>
    <col min="13060" max="13060" width="13.140625" style="224" customWidth="1"/>
    <col min="13061" max="13061" width="17" style="224" customWidth="1"/>
    <col min="13062" max="13062" width="56.42578125" style="224" customWidth="1"/>
    <col min="13063" max="13063" width="10.5703125" style="224" customWidth="1"/>
    <col min="13064" max="13064" width="11.85546875" style="224" customWidth="1"/>
    <col min="13065" max="13065" width="10" style="224" customWidth="1"/>
    <col min="13066" max="13312" width="9.140625" style="224"/>
    <col min="13313" max="13313" width="10.28515625" style="224" customWidth="1"/>
    <col min="13314" max="13314" width="11.5703125" style="224" customWidth="1"/>
    <col min="13315" max="13315" width="11.140625" style="224" customWidth="1"/>
    <col min="13316" max="13316" width="13.140625" style="224" customWidth="1"/>
    <col min="13317" max="13317" width="17" style="224" customWidth="1"/>
    <col min="13318" max="13318" width="56.42578125" style="224" customWidth="1"/>
    <col min="13319" max="13319" width="10.5703125" style="224" customWidth="1"/>
    <col min="13320" max="13320" width="11.85546875" style="224" customWidth="1"/>
    <col min="13321" max="13321" width="10" style="224" customWidth="1"/>
    <col min="13322" max="13568" width="9.140625" style="224"/>
    <col min="13569" max="13569" width="10.28515625" style="224" customWidth="1"/>
    <col min="13570" max="13570" width="11.5703125" style="224" customWidth="1"/>
    <col min="13571" max="13571" width="11.140625" style="224" customWidth="1"/>
    <col min="13572" max="13572" width="13.140625" style="224" customWidth="1"/>
    <col min="13573" max="13573" width="17" style="224" customWidth="1"/>
    <col min="13574" max="13574" width="56.42578125" style="224" customWidth="1"/>
    <col min="13575" max="13575" width="10.5703125" style="224" customWidth="1"/>
    <col min="13576" max="13576" width="11.85546875" style="224" customWidth="1"/>
    <col min="13577" max="13577" width="10" style="224" customWidth="1"/>
    <col min="13578" max="13824" width="9.140625" style="224"/>
    <col min="13825" max="13825" width="10.28515625" style="224" customWidth="1"/>
    <col min="13826" max="13826" width="11.5703125" style="224" customWidth="1"/>
    <col min="13827" max="13827" width="11.140625" style="224" customWidth="1"/>
    <col min="13828" max="13828" width="13.140625" style="224" customWidth="1"/>
    <col min="13829" max="13829" width="17" style="224" customWidth="1"/>
    <col min="13830" max="13830" width="56.42578125" style="224" customWidth="1"/>
    <col min="13831" max="13831" width="10.5703125" style="224" customWidth="1"/>
    <col min="13832" max="13832" width="11.85546875" style="224" customWidth="1"/>
    <col min="13833" max="13833" width="10" style="224" customWidth="1"/>
    <col min="13834" max="14080" width="9.140625" style="224"/>
    <col min="14081" max="14081" width="10.28515625" style="224" customWidth="1"/>
    <col min="14082" max="14082" width="11.5703125" style="224" customWidth="1"/>
    <col min="14083" max="14083" width="11.140625" style="224" customWidth="1"/>
    <col min="14084" max="14084" width="13.140625" style="224" customWidth="1"/>
    <col min="14085" max="14085" width="17" style="224" customWidth="1"/>
    <col min="14086" max="14086" width="56.42578125" style="224" customWidth="1"/>
    <col min="14087" max="14087" width="10.5703125" style="224" customWidth="1"/>
    <col min="14088" max="14088" width="11.85546875" style="224" customWidth="1"/>
    <col min="14089" max="14089" width="10" style="224" customWidth="1"/>
    <col min="14090" max="14336" width="9.140625" style="224"/>
    <col min="14337" max="14337" width="10.28515625" style="224" customWidth="1"/>
    <col min="14338" max="14338" width="11.5703125" style="224" customWidth="1"/>
    <col min="14339" max="14339" width="11.140625" style="224" customWidth="1"/>
    <col min="14340" max="14340" width="13.140625" style="224" customWidth="1"/>
    <col min="14341" max="14341" width="17" style="224" customWidth="1"/>
    <col min="14342" max="14342" width="56.42578125" style="224" customWidth="1"/>
    <col min="14343" max="14343" width="10.5703125" style="224" customWidth="1"/>
    <col min="14344" max="14344" width="11.85546875" style="224" customWidth="1"/>
    <col min="14345" max="14345" width="10" style="224" customWidth="1"/>
    <col min="14346" max="14592" width="9.140625" style="224"/>
    <col min="14593" max="14593" width="10.28515625" style="224" customWidth="1"/>
    <col min="14594" max="14594" width="11.5703125" style="224" customWidth="1"/>
    <col min="14595" max="14595" width="11.140625" style="224" customWidth="1"/>
    <col min="14596" max="14596" width="13.140625" style="224" customWidth="1"/>
    <col min="14597" max="14597" width="17" style="224" customWidth="1"/>
    <col min="14598" max="14598" width="56.42578125" style="224" customWidth="1"/>
    <col min="14599" max="14599" width="10.5703125" style="224" customWidth="1"/>
    <col min="14600" max="14600" width="11.85546875" style="224" customWidth="1"/>
    <col min="14601" max="14601" width="10" style="224" customWidth="1"/>
    <col min="14602" max="14848" width="9.140625" style="224"/>
    <col min="14849" max="14849" width="10.28515625" style="224" customWidth="1"/>
    <col min="14850" max="14850" width="11.5703125" style="224" customWidth="1"/>
    <col min="14851" max="14851" width="11.140625" style="224" customWidth="1"/>
    <col min="14852" max="14852" width="13.140625" style="224" customWidth="1"/>
    <col min="14853" max="14853" width="17" style="224" customWidth="1"/>
    <col min="14854" max="14854" width="56.42578125" style="224" customWidth="1"/>
    <col min="14855" max="14855" width="10.5703125" style="224" customWidth="1"/>
    <col min="14856" max="14856" width="11.85546875" style="224" customWidth="1"/>
    <col min="14857" max="14857" width="10" style="224" customWidth="1"/>
    <col min="14858" max="15104" width="9.140625" style="224"/>
    <col min="15105" max="15105" width="10.28515625" style="224" customWidth="1"/>
    <col min="15106" max="15106" width="11.5703125" style="224" customWidth="1"/>
    <col min="15107" max="15107" width="11.140625" style="224" customWidth="1"/>
    <col min="15108" max="15108" width="13.140625" style="224" customWidth="1"/>
    <col min="15109" max="15109" width="17" style="224" customWidth="1"/>
    <col min="15110" max="15110" width="56.42578125" style="224" customWidth="1"/>
    <col min="15111" max="15111" width="10.5703125" style="224" customWidth="1"/>
    <col min="15112" max="15112" width="11.85546875" style="224" customWidth="1"/>
    <col min="15113" max="15113" width="10" style="224" customWidth="1"/>
    <col min="15114" max="15360" width="9.140625" style="224"/>
    <col min="15361" max="15361" width="10.28515625" style="224" customWidth="1"/>
    <col min="15362" max="15362" width="11.5703125" style="224" customWidth="1"/>
    <col min="15363" max="15363" width="11.140625" style="224" customWidth="1"/>
    <col min="15364" max="15364" width="13.140625" style="224" customWidth="1"/>
    <col min="15365" max="15365" width="17" style="224" customWidth="1"/>
    <col min="15366" max="15366" width="56.42578125" style="224" customWidth="1"/>
    <col min="15367" max="15367" width="10.5703125" style="224" customWidth="1"/>
    <col min="15368" max="15368" width="11.85546875" style="224" customWidth="1"/>
    <col min="15369" max="15369" width="10" style="224" customWidth="1"/>
    <col min="15370" max="15616" width="9.140625" style="224"/>
    <col min="15617" max="15617" width="10.28515625" style="224" customWidth="1"/>
    <col min="15618" max="15618" width="11.5703125" style="224" customWidth="1"/>
    <col min="15619" max="15619" width="11.140625" style="224" customWidth="1"/>
    <col min="15620" max="15620" width="13.140625" style="224" customWidth="1"/>
    <col min="15621" max="15621" width="17" style="224" customWidth="1"/>
    <col min="15622" max="15622" width="56.42578125" style="224" customWidth="1"/>
    <col min="15623" max="15623" width="10.5703125" style="224" customWidth="1"/>
    <col min="15624" max="15624" width="11.85546875" style="224" customWidth="1"/>
    <col min="15625" max="15625" width="10" style="224" customWidth="1"/>
    <col min="15626" max="15872" width="9.140625" style="224"/>
    <col min="15873" max="15873" width="10.28515625" style="224" customWidth="1"/>
    <col min="15874" max="15874" width="11.5703125" style="224" customWidth="1"/>
    <col min="15875" max="15875" width="11.140625" style="224" customWidth="1"/>
    <col min="15876" max="15876" width="13.140625" style="224" customWidth="1"/>
    <col min="15877" max="15877" width="17" style="224" customWidth="1"/>
    <col min="15878" max="15878" width="56.42578125" style="224" customWidth="1"/>
    <col min="15879" max="15879" width="10.5703125" style="224" customWidth="1"/>
    <col min="15880" max="15880" width="11.85546875" style="224" customWidth="1"/>
    <col min="15881" max="15881" width="10" style="224" customWidth="1"/>
    <col min="15882" max="16128" width="9.140625" style="224"/>
    <col min="16129" max="16129" width="10.28515625" style="224" customWidth="1"/>
    <col min="16130" max="16130" width="11.5703125" style="224" customWidth="1"/>
    <col min="16131" max="16131" width="11.140625" style="224" customWidth="1"/>
    <col min="16132" max="16132" width="13.140625" style="224" customWidth="1"/>
    <col min="16133" max="16133" width="17" style="224" customWidth="1"/>
    <col min="16134" max="16134" width="56.42578125" style="224" customWidth="1"/>
    <col min="16135" max="16135" width="10.5703125" style="224" customWidth="1"/>
    <col min="16136" max="16136" width="11.85546875" style="224" customWidth="1"/>
    <col min="16137" max="16137" width="10" style="224" customWidth="1"/>
    <col min="16138" max="16384" width="9.140625" style="224"/>
  </cols>
  <sheetData>
    <row r="2" spans="1:9" s="195" customFormat="1" x14ac:dyDescent="0.2">
      <c r="A2" s="190" t="s">
        <v>59</v>
      </c>
      <c r="B2" s="190" t="s">
        <v>2</v>
      </c>
      <c r="C2" s="191" t="s">
        <v>60</v>
      </c>
      <c r="D2" s="191" t="s">
        <v>61</v>
      </c>
      <c r="E2" s="192" t="s">
        <v>62</v>
      </c>
      <c r="F2" s="192" t="s">
        <v>63</v>
      </c>
      <c r="G2" s="193">
        <f>SUM(G3:G27)</f>
        <v>38093641.520000003</v>
      </c>
      <c r="H2" s="191" t="s">
        <v>64</v>
      </c>
      <c r="I2" s="194"/>
    </row>
    <row r="3" spans="1:9" s="187" customFormat="1" x14ac:dyDescent="0.2">
      <c r="A3" s="196" t="s">
        <v>65</v>
      </c>
      <c r="B3" s="197">
        <v>45846</v>
      </c>
      <c r="C3" s="198" t="s">
        <v>959</v>
      </c>
      <c r="D3" s="198" t="s">
        <v>960</v>
      </c>
      <c r="E3" s="199" t="s">
        <v>66</v>
      </c>
      <c r="F3" s="199" t="s">
        <v>67</v>
      </c>
      <c r="G3" s="200">
        <v>19.579999999999998</v>
      </c>
      <c r="H3" s="198"/>
    </row>
    <row r="4" spans="1:9" s="187" customFormat="1" x14ac:dyDescent="0.2">
      <c r="A4" s="196" t="s">
        <v>65</v>
      </c>
      <c r="B4" s="197">
        <v>45846</v>
      </c>
      <c r="C4" s="198" t="s">
        <v>959</v>
      </c>
      <c r="D4" s="198" t="s">
        <v>961</v>
      </c>
      <c r="E4" s="199" t="s">
        <v>66</v>
      </c>
      <c r="F4" s="199" t="s">
        <v>68</v>
      </c>
      <c r="G4" s="200">
        <v>176</v>
      </c>
      <c r="H4" s="198"/>
    </row>
    <row r="5" spans="1:9" s="187" customFormat="1" x14ac:dyDescent="0.2">
      <c r="A5" s="196" t="s">
        <v>65</v>
      </c>
      <c r="B5" s="197">
        <v>45846</v>
      </c>
      <c r="C5" s="198" t="s">
        <v>959</v>
      </c>
      <c r="D5" s="198" t="s">
        <v>962</v>
      </c>
      <c r="E5" s="199" t="s">
        <v>66</v>
      </c>
      <c r="F5" s="199" t="s">
        <v>69</v>
      </c>
      <c r="G5" s="200">
        <v>88</v>
      </c>
      <c r="H5" s="198"/>
    </row>
    <row r="6" spans="1:9" s="187" customFormat="1" x14ac:dyDescent="0.2">
      <c r="A6" s="196" t="s">
        <v>65</v>
      </c>
      <c r="B6" s="197">
        <v>45846</v>
      </c>
      <c r="C6" s="198" t="s">
        <v>959</v>
      </c>
      <c r="D6" s="198" t="s">
        <v>963</v>
      </c>
      <c r="E6" s="199" t="s">
        <v>66</v>
      </c>
      <c r="F6" s="199" t="s">
        <v>71</v>
      </c>
      <c r="G6" s="200">
        <v>239</v>
      </c>
      <c r="H6" s="198"/>
    </row>
    <row r="7" spans="1:9" s="187" customFormat="1" x14ac:dyDescent="0.2">
      <c r="A7" s="196" t="s">
        <v>65</v>
      </c>
      <c r="B7" s="197">
        <v>45846</v>
      </c>
      <c r="C7" s="198" t="s">
        <v>959</v>
      </c>
      <c r="D7" s="198" t="s">
        <v>964</v>
      </c>
      <c r="E7" s="199" t="s">
        <v>66</v>
      </c>
      <c r="F7" s="199" t="s">
        <v>72</v>
      </c>
      <c r="G7" s="200">
        <v>150</v>
      </c>
      <c r="H7" s="198"/>
    </row>
    <row r="8" spans="1:9" s="187" customFormat="1" x14ac:dyDescent="0.2">
      <c r="A8" s="196" t="s">
        <v>65</v>
      </c>
      <c r="B8" s="197">
        <v>45846</v>
      </c>
      <c r="C8" s="198" t="s">
        <v>959</v>
      </c>
      <c r="D8" s="198" t="s">
        <v>965</v>
      </c>
      <c r="E8" s="199" t="s">
        <v>66</v>
      </c>
      <c r="F8" s="199" t="s">
        <v>73</v>
      </c>
      <c r="G8" s="200">
        <v>9227.89</v>
      </c>
      <c r="H8" s="198"/>
    </row>
    <row r="9" spans="1:9" s="187" customFormat="1" x14ac:dyDescent="0.2">
      <c r="A9" s="196" t="s">
        <v>65</v>
      </c>
      <c r="B9" s="197">
        <v>45846</v>
      </c>
      <c r="C9" s="198" t="s">
        <v>959</v>
      </c>
      <c r="D9" s="198" t="s">
        <v>966</v>
      </c>
      <c r="E9" s="199" t="s">
        <v>66</v>
      </c>
      <c r="F9" s="199" t="s">
        <v>74</v>
      </c>
      <c r="G9" s="200">
        <v>763213.66</v>
      </c>
      <c r="H9" s="198"/>
    </row>
    <row r="10" spans="1:9" s="187" customFormat="1" x14ac:dyDescent="0.2">
      <c r="A10" s="196" t="s">
        <v>65</v>
      </c>
      <c r="B10" s="197">
        <v>45846</v>
      </c>
      <c r="C10" s="198" t="s">
        <v>959</v>
      </c>
      <c r="D10" s="198" t="s">
        <v>967</v>
      </c>
      <c r="E10" s="199" t="s">
        <v>66</v>
      </c>
      <c r="F10" s="199" t="s">
        <v>75</v>
      </c>
      <c r="G10" s="200">
        <v>41814.230000000003</v>
      </c>
      <c r="H10" s="198"/>
    </row>
    <row r="11" spans="1:9" s="187" customFormat="1" x14ac:dyDescent="0.2">
      <c r="A11" s="196" t="s">
        <v>65</v>
      </c>
      <c r="B11" s="197">
        <v>45846</v>
      </c>
      <c r="C11" s="198" t="s">
        <v>959</v>
      </c>
      <c r="D11" s="198" t="s">
        <v>968</v>
      </c>
      <c r="E11" s="199" t="s">
        <v>66</v>
      </c>
      <c r="F11" s="199" t="s">
        <v>77</v>
      </c>
      <c r="G11" s="200">
        <v>414429.64</v>
      </c>
      <c r="H11" s="198"/>
    </row>
    <row r="12" spans="1:9" s="187" customFormat="1" x14ac:dyDescent="0.2">
      <c r="A12" s="196" t="s">
        <v>65</v>
      </c>
      <c r="B12" s="197">
        <v>45846</v>
      </c>
      <c r="C12" s="198" t="s">
        <v>959</v>
      </c>
      <c r="D12" s="198" t="s">
        <v>969</v>
      </c>
      <c r="E12" s="199" t="s">
        <v>66</v>
      </c>
      <c r="F12" s="199" t="s">
        <v>78</v>
      </c>
      <c r="G12" s="200">
        <v>745</v>
      </c>
      <c r="H12" s="198"/>
    </row>
    <row r="13" spans="1:9" s="187" customFormat="1" x14ac:dyDescent="0.2">
      <c r="A13" s="196" t="s">
        <v>65</v>
      </c>
      <c r="B13" s="197">
        <v>45846</v>
      </c>
      <c r="C13" s="198" t="s">
        <v>959</v>
      </c>
      <c r="D13" s="198" t="s">
        <v>970</v>
      </c>
      <c r="E13" s="199" t="s">
        <v>66</v>
      </c>
      <c r="F13" s="199" t="s">
        <v>79</v>
      </c>
      <c r="G13" s="200">
        <v>84</v>
      </c>
      <c r="H13" s="198"/>
    </row>
    <row r="14" spans="1:9" s="187" customFormat="1" x14ac:dyDescent="0.2">
      <c r="A14" s="196" t="s">
        <v>65</v>
      </c>
      <c r="B14" s="197">
        <v>45846</v>
      </c>
      <c r="C14" s="198" t="s">
        <v>959</v>
      </c>
      <c r="D14" s="198" t="s">
        <v>971</v>
      </c>
      <c r="E14" s="199" t="s">
        <v>66</v>
      </c>
      <c r="F14" s="199" t="s">
        <v>80</v>
      </c>
      <c r="G14" s="200">
        <v>9022167.5199999996</v>
      </c>
      <c r="H14" s="198"/>
    </row>
    <row r="15" spans="1:9" s="187" customFormat="1" x14ac:dyDescent="0.2">
      <c r="A15" s="203" t="s">
        <v>65</v>
      </c>
      <c r="B15" s="197">
        <v>45846</v>
      </c>
      <c r="C15" s="198" t="s">
        <v>959</v>
      </c>
      <c r="D15" s="204" t="s">
        <v>972</v>
      </c>
      <c r="E15" s="205" t="s">
        <v>66</v>
      </c>
      <c r="F15" s="205" t="s">
        <v>87</v>
      </c>
      <c r="G15" s="206">
        <v>3729163.8</v>
      </c>
      <c r="H15" s="204"/>
    </row>
    <row r="16" spans="1:9" s="187" customFormat="1" x14ac:dyDescent="0.2">
      <c r="A16" s="196" t="s">
        <v>65</v>
      </c>
      <c r="B16" s="197">
        <v>45846</v>
      </c>
      <c r="C16" s="198" t="s">
        <v>959</v>
      </c>
      <c r="D16" s="198" t="s">
        <v>973</v>
      </c>
      <c r="E16" s="199" t="s">
        <v>66</v>
      </c>
      <c r="F16" s="199" t="s">
        <v>83</v>
      </c>
      <c r="G16" s="200">
        <v>115019.88</v>
      </c>
      <c r="H16" s="198"/>
    </row>
    <row r="17" spans="1:9" s="187" customFormat="1" x14ac:dyDescent="0.2">
      <c r="A17" s="196" t="s">
        <v>65</v>
      </c>
      <c r="B17" s="197">
        <v>45846</v>
      </c>
      <c r="C17" s="198" t="s">
        <v>959</v>
      </c>
      <c r="D17" s="198" t="s">
        <v>974</v>
      </c>
      <c r="E17" s="201" t="s">
        <v>66</v>
      </c>
      <c r="F17" s="201" t="s">
        <v>83</v>
      </c>
      <c r="G17" s="202">
        <v>24039.72</v>
      </c>
      <c r="H17" s="198"/>
    </row>
    <row r="18" spans="1:9" s="187" customFormat="1" x14ac:dyDescent="0.2">
      <c r="A18" s="212" t="s">
        <v>65</v>
      </c>
      <c r="B18" s="213">
        <v>45846</v>
      </c>
      <c r="C18" s="207" t="s">
        <v>959</v>
      </c>
      <c r="D18" s="207" t="s">
        <v>975</v>
      </c>
      <c r="E18" s="214" t="s">
        <v>66</v>
      </c>
      <c r="F18" s="214" t="s">
        <v>89</v>
      </c>
      <c r="G18" s="215">
        <v>103.93</v>
      </c>
      <c r="H18" s="207" t="s">
        <v>958</v>
      </c>
    </row>
    <row r="19" spans="1:9" s="187" customFormat="1" x14ac:dyDescent="0.2">
      <c r="A19" s="196" t="s">
        <v>65</v>
      </c>
      <c r="B19" s="197">
        <v>45846</v>
      </c>
      <c r="C19" s="198" t="s">
        <v>959</v>
      </c>
      <c r="D19" s="198" t="s">
        <v>976</v>
      </c>
      <c r="E19" s="199" t="s">
        <v>66</v>
      </c>
      <c r="F19" s="199" t="s">
        <v>93</v>
      </c>
      <c r="G19" s="200">
        <v>13.09</v>
      </c>
      <c r="H19" s="198"/>
    </row>
    <row r="20" spans="1:9" s="187" customFormat="1" x14ac:dyDescent="0.2">
      <c r="A20" s="203" t="s">
        <v>65</v>
      </c>
      <c r="B20" s="197">
        <v>45846</v>
      </c>
      <c r="C20" s="198" t="s">
        <v>959</v>
      </c>
      <c r="D20" s="204" t="s">
        <v>977</v>
      </c>
      <c r="E20" s="199" t="s">
        <v>66</v>
      </c>
      <c r="F20" s="205" t="s">
        <v>90</v>
      </c>
      <c r="G20" s="206">
        <v>87392.5</v>
      </c>
      <c r="H20" s="207"/>
    </row>
    <row r="21" spans="1:9" s="187" customFormat="1" x14ac:dyDescent="0.2">
      <c r="A21" s="196" t="s">
        <v>65</v>
      </c>
      <c r="B21" s="197">
        <v>45846</v>
      </c>
      <c r="C21" s="198" t="s">
        <v>959</v>
      </c>
      <c r="D21" s="198" t="s">
        <v>978</v>
      </c>
      <c r="E21" s="199" t="s">
        <v>66</v>
      </c>
      <c r="F21" s="199" t="s">
        <v>87</v>
      </c>
      <c r="G21" s="200">
        <v>9142923.4600000009</v>
      </c>
      <c r="H21" s="198"/>
    </row>
    <row r="22" spans="1:9" s="187" customFormat="1" x14ac:dyDescent="0.2">
      <c r="A22" s="196" t="s">
        <v>65</v>
      </c>
      <c r="B22" s="197">
        <v>45846</v>
      </c>
      <c r="C22" s="198" t="s">
        <v>959</v>
      </c>
      <c r="D22" s="198" t="s">
        <v>979</v>
      </c>
      <c r="E22" s="199" t="s">
        <v>66</v>
      </c>
      <c r="F22" s="199" t="s">
        <v>87</v>
      </c>
      <c r="G22" s="200">
        <v>10579.73</v>
      </c>
      <c r="H22" s="198"/>
    </row>
    <row r="23" spans="1:9" s="187" customFormat="1" x14ac:dyDescent="0.2">
      <c r="A23" s="196" t="s">
        <v>65</v>
      </c>
      <c r="B23" s="197">
        <v>45846</v>
      </c>
      <c r="C23" s="198" t="s">
        <v>959</v>
      </c>
      <c r="D23" s="198" t="s">
        <v>980</v>
      </c>
      <c r="E23" s="199" t="s">
        <v>66</v>
      </c>
      <c r="F23" s="199" t="s">
        <v>91</v>
      </c>
      <c r="G23" s="200">
        <v>2804524.39</v>
      </c>
      <c r="H23" s="198"/>
    </row>
    <row r="24" spans="1:9" s="187" customFormat="1" x14ac:dyDescent="0.2">
      <c r="A24" s="196" t="s">
        <v>65</v>
      </c>
      <c r="B24" s="197">
        <v>45846</v>
      </c>
      <c r="C24" s="198" t="s">
        <v>959</v>
      </c>
      <c r="D24" s="198" t="s">
        <v>981</v>
      </c>
      <c r="E24" s="201" t="s">
        <v>66</v>
      </c>
      <c r="F24" s="201" t="s">
        <v>91</v>
      </c>
      <c r="G24" s="202">
        <v>5513960.5999999996</v>
      </c>
      <c r="H24" s="198"/>
    </row>
    <row r="25" spans="1:9" s="187" customFormat="1" x14ac:dyDescent="0.2">
      <c r="A25" s="196" t="s">
        <v>65</v>
      </c>
      <c r="B25" s="197">
        <v>45846</v>
      </c>
      <c r="C25" s="198" t="s">
        <v>959</v>
      </c>
      <c r="D25" s="198" t="s">
        <v>982</v>
      </c>
      <c r="E25" s="199" t="s">
        <v>66</v>
      </c>
      <c r="F25" s="199" t="s">
        <v>91</v>
      </c>
      <c r="G25" s="200">
        <v>2804524.39</v>
      </c>
      <c r="H25" s="198"/>
    </row>
    <row r="26" spans="1:9" s="187" customFormat="1" x14ac:dyDescent="0.2">
      <c r="A26" s="196" t="s">
        <v>65</v>
      </c>
      <c r="B26" s="197">
        <v>45846</v>
      </c>
      <c r="C26" s="198" t="s">
        <v>959</v>
      </c>
      <c r="D26" s="198" t="s">
        <v>983</v>
      </c>
      <c r="E26" s="199" t="s">
        <v>66</v>
      </c>
      <c r="F26" s="199" t="s">
        <v>91</v>
      </c>
      <c r="G26" s="200">
        <v>2972397.51</v>
      </c>
      <c r="H26" s="198"/>
    </row>
    <row r="27" spans="1:9" s="187" customFormat="1" x14ac:dyDescent="0.2">
      <c r="A27" s="203" t="s">
        <v>65</v>
      </c>
      <c r="B27" s="197">
        <v>45846</v>
      </c>
      <c r="C27" s="198" t="s">
        <v>959</v>
      </c>
      <c r="D27" s="204" t="s">
        <v>984</v>
      </c>
      <c r="E27" s="199" t="s">
        <v>66</v>
      </c>
      <c r="F27" s="205" t="s">
        <v>91</v>
      </c>
      <c r="G27" s="206">
        <v>636644</v>
      </c>
      <c r="H27" s="207"/>
    </row>
    <row r="28" spans="1:9" s="187" customFormat="1" x14ac:dyDescent="0.2">
      <c r="F28" s="189"/>
      <c r="G28" s="188"/>
      <c r="H28" s="189"/>
    </row>
    <row r="29" spans="1:9" s="195" customFormat="1" x14ac:dyDescent="0.2">
      <c r="A29" s="190" t="s">
        <v>59</v>
      </c>
      <c r="B29" s="190" t="s">
        <v>2</v>
      </c>
      <c r="C29" s="191" t="s">
        <v>60</v>
      </c>
      <c r="D29" s="191" t="s">
        <v>61</v>
      </c>
      <c r="E29" s="192" t="s">
        <v>62</v>
      </c>
      <c r="F29" s="192" t="s">
        <v>63</v>
      </c>
      <c r="G29" s="193">
        <f>SUM(G30:G41)</f>
        <v>5702522.3099999996</v>
      </c>
      <c r="H29" s="191" t="s">
        <v>64</v>
      </c>
      <c r="I29" s="194"/>
    </row>
    <row r="30" spans="1:9" s="187" customFormat="1" x14ac:dyDescent="0.2">
      <c r="A30" s="196" t="s">
        <v>65</v>
      </c>
      <c r="B30" s="197">
        <v>45846</v>
      </c>
      <c r="C30" s="198" t="s">
        <v>985</v>
      </c>
      <c r="D30" s="198" t="s">
        <v>986</v>
      </c>
      <c r="E30" s="199" t="s">
        <v>66</v>
      </c>
      <c r="F30" s="199" t="s">
        <v>70</v>
      </c>
      <c r="G30" s="200">
        <v>20490.5</v>
      </c>
      <c r="H30" s="198"/>
    </row>
    <row r="31" spans="1:9" s="187" customFormat="1" x14ac:dyDescent="0.2">
      <c r="A31" s="196" t="s">
        <v>65</v>
      </c>
      <c r="B31" s="197">
        <v>45846</v>
      </c>
      <c r="C31" s="198" t="s">
        <v>985</v>
      </c>
      <c r="D31" s="198" t="s">
        <v>987</v>
      </c>
      <c r="E31" s="199" t="s">
        <v>66</v>
      </c>
      <c r="F31" s="199" t="s">
        <v>88</v>
      </c>
      <c r="G31" s="200">
        <v>1664.16</v>
      </c>
      <c r="H31" s="198"/>
    </row>
    <row r="32" spans="1:9" s="187" customFormat="1" x14ac:dyDescent="0.2">
      <c r="A32" s="196" t="s">
        <v>65</v>
      </c>
      <c r="B32" s="197">
        <v>45846</v>
      </c>
      <c r="C32" s="198" t="s">
        <v>985</v>
      </c>
      <c r="D32" s="198" t="s">
        <v>988</v>
      </c>
      <c r="E32" s="199" t="s">
        <v>66</v>
      </c>
      <c r="F32" s="199" t="s">
        <v>74</v>
      </c>
      <c r="G32" s="200">
        <v>406034.78</v>
      </c>
      <c r="H32" s="198"/>
    </row>
    <row r="33" spans="1:9" s="187" customFormat="1" x14ac:dyDescent="0.2">
      <c r="A33" s="196" t="s">
        <v>65</v>
      </c>
      <c r="B33" s="197">
        <v>45846</v>
      </c>
      <c r="C33" s="198" t="s">
        <v>985</v>
      </c>
      <c r="D33" s="198" t="s">
        <v>989</v>
      </c>
      <c r="E33" s="199" t="s">
        <v>66</v>
      </c>
      <c r="F33" s="199" t="s">
        <v>76</v>
      </c>
      <c r="G33" s="200">
        <v>302.39</v>
      </c>
      <c r="H33" s="198"/>
    </row>
    <row r="34" spans="1:9" s="187" customFormat="1" x14ac:dyDescent="0.2">
      <c r="A34" s="196" t="s">
        <v>65</v>
      </c>
      <c r="B34" s="197">
        <v>45846</v>
      </c>
      <c r="C34" s="198" t="s">
        <v>985</v>
      </c>
      <c r="D34" s="198" t="s">
        <v>990</v>
      </c>
      <c r="E34" s="199" t="s">
        <v>66</v>
      </c>
      <c r="F34" s="199" t="s">
        <v>81</v>
      </c>
      <c r="G34" s="200">
        <v>4218.3599999999997</v>
      </c>
      <c r="H34" s="198"/>
    </row>
    <row r="35" spans="1:9" s="187" customFormat="1" x14ac:dyDescent="0.2">
      <c r="A35" s="196" t="s">
        <v>65</v>
      </c>
      <c r="B35" s="197">
        <v>45846</v>
      </c>
      <c r="C35" s="198" t="s">
        <v>985</v>
      </c>
      <c r="D35" s="198" t="s">
        <v>991</v>
      </c>
      <c r="E35" s="199" t="s">
        <v>66</v>
      </c>
      <c r="F35" s="199" t="s">
        <v>82</v>
      </c>
      <c r="G35" s="200">
        <v>3176336.34</v>
      </c>
      <c r="H35" s="198"/>
    </row>
    <row r="36" spans="1:9" s="187" customFormat="1" x14ac:dyDescent="0.2">
      <c r="A36" s="196" t="s">
        <v>65</v>
      </c>
      <c r="B36" s="197">
        <v>45846</v>
      </c>
      <c r="C36" s="198" t="s">
        <v>985</v>
      </c>
      <c r="D36" s="198" t="s">
        <v>992</v>
      </c>
      <c r="E36" s="199" t="s">
        <v>66</v>
      </c>
      <c r="F36" s="199" t="s">
        <v>83</v>
      </c>
      <c r="G36" s="200">
        <v>9639.31</v>
      </c>
      <c r="H36" s="198"/>
    </row>
    <row r="37" spans="1:9" s="187" customFormat="1" x14ac:dyDescent="0.2">
      <c r="A37" s="196" t="s">
        <v>65</v>
      </c>
      <c r="B37" s="197">
        <v>45846</v>
      </c>
      <c r="C37" s="198" t="s">
        <v>985</v>
      </c>
      <c r="D37" s="198" t="s">
        <v>993</v>
      </c>
      <c r="E37" s="199" t="s">
        <v>66</v>
      </c>
      <c r="F37" s="199" t="s">
        <v>84</v>
      </c>
      <c r="G37" s="200">
        <v>177648.81</v>
      </c>
      <c r="H37" s="198"/>
    </row>
    <row r="38" spans="1:9" s="187" customFormat="1" x14ac:dyDescent="0.2">
      <c r="A38" s="196" t="s">
        <v>65</v>
      </c>
      <c r="B38" s="197">
        <v>45846</v>
      </c>
      <c r="C38" s="198" t="s">
        <v>985</v>
      </c>
      <c r="D38" s="198" t="s">
        <v>994</v>
      </c>
      <c r="E38" s="199" t="s">
        <v>66</v>
      </c>
      <c r="F38" s="199" t="s">
        <v>499</v>
      </c>
      <c r="G38" s="200">
        <v>536.78</v>
      </c>
      <c r="H38" s="198"/>
    </row>
    <row r="39" spans="1:9" s="187" customFormat="1" x14ac:dyDescent="0.2">
      <c r="A39" s="196" t="s">
        <v>65</v>
      </c>
      <c r="B39" s="197">
        <v>45846</v>
      </c>
      <c r="C39" s="198" t="s">
        <v>985</v>
      </c>
      <c r="D39" s="198" t="s">
        <v>995</v>
      </c>
      <c r="E39" s="199" t="s">
        <v>66</v>
      </c>
      <c r="F39" s="199" t="s">
        <v>85</v>
      </c>
      <c r="G39" s="200">
        <v>320.23</v>
      </c>
      <c r="H39" s="198"/>
    </row>
    <row r="40" spans="1:9" s="187" customFormat="1" x14ac:dyDescent="0.2">
      <c r="A40" s="196" t="s">
        <v>65</v>
      </c>
      <c r="B40" s="197">
        <v>45846</v>
      </c>
      <c r="C40" s="198" t="s">
        <v>985</v>
      </c>
      <c r="D40" s="198" t="s">
        <v>996</v>
      </c>
      <c r="E40" s="199" t="s">
        <v>66</v>
      </c>
      <c r="F40" s="199" t="s">
        <v>86</v>
      </c>
      <c r="G40" s="200">
        <v>411.56</v>
      </c>
      <c r="H40" s="198"/>
    </row>
    <row r="41" spans="1:9" s="187" customFormat="1" x14ac:dyDescent="0.2">
      <c r="A41" s="196" t="s">
        <v>65</v>
      </c>
      <c r="B41" s="197">
        <v>45846</v>
      </c>
      <c r="C41" s="198" t="s">
        <v>985</v>
      </c>
      <c r="D41" s="198" t="s">
        <v>997</v>
      </c>
      <c r="E41" s="199" t="s">
        <v>66</v>
      </c>
      <c r="F41" s="199" t="s">
        <v>91</v>
      </c>
      <c r="G41" s="200">
        <v>1904919.09</v>
      </c>
      <c r="H41" s="198"/>
    </row>
    <row r="42" spans="1:9" s="187" customFormat="1" x14ac:dyDescent="0.2">
      <c r="F42" s="189"/>
      <c r="G42" s="188"/>
      <c r="H42" s="189"/>
    </row>
    <row r="43" spans="1:9" s="195" customFormat="1" x14ac:dyDescent="0.2">
      <c r="A43" s="190" t="s">
        <v>59</v>
      </c>
      <c r="B43" s="190" t="s">
        <v>2</v>
      </c>
      <c r="C43" s="191" t="s">
        <v>60</v>
      </c>
      <c r="D43" s="191" t="s">
        <v>61</v>
      </c>
      <c r="E43" s="192" t="s">
        <v>62</v>
      </c>
      <c r="F43" s="192" t="s">
        <v>63</v>
      </c>
      <c r="G43" s="193">
        <f>SUM(G44:G47)</f>
        <v>97539.73</v>
      </c>
      <c r="H43" s="191" t="s">
        <v>64</v>
      </c>
      <c r="I43" s="194"/>
    </row>
    <row r="44" spans="1:9" s="187" customFormat="1" x14ac:dyDescent="0.2">
      <c r="A44" s="196" t="s">
        <v>65</v>
      </c>
      <c r="B44" s="197">
        <v>45847</v>
      </c>
      <c r="C44" s="198" t="s">
        <v>998</v>
      </c>
      <c r="D44" s="198" t="s">
        <v>999</v>
      </c>
      <c r="E44" s="199" t="s">
        <v>66</v>
      </c>
      <c r="F44" s="199" t="s">
        <v>87</v>
      </c>
      <c r="G44" s="200">
        <v>23386.28</v>
      </c>
      <c r="H44" s="198"/>
      <c r="I44" s="187" t="s">
        <v>1192</v>
      </c>
    </row>
    <row r="45" spans="1:9" s="187" customFormat="1" x14ac:dyDescent="0.2">
      <c r="A45" s="196" t="s">
        <v>65</v>
      </c>
      <c r="B45" s="197">
        <v>45847</v>
      </c>
      <c r="C45" s="198" t="s">
        <v>998</v>
      </c>
      <c r="D45" s="198" t="s">
        <v>1000</v>
      </c>
      <c r="E45" s="199" t="s">
        <v>66</v>
      </c>
      <c r="F45" s="199" t="s">
        <v>87</v>
      </c>
      <c r="G45" s="200">
        <v>36476.480000000003</v>
      </c>
      <c r="H45" s="198"/>
    </row>
    <row r="46" spans="1:9" s="187" customFormat="1" x14ac:dyDescent="0.2">
      <c r="A46" s="196" t="s">
        <v>65</v>
      </c>
      <c r="B46" s="197">
        <v>45847</v>
      </c>
      <c r="C46" s="198" t="s">
        <v>998</v>
      </c>
      <c r="D46" s="198" t="s">
        <v>1001</v>
      </c>
      <c r="E46" s="199" t="s">
        <v>66</v>
      </c>
      <c r="F46" s="199" t="s">
        <v>87</v>
      </c>
      <c r="G46" s="200">
        <v>22282.67</v>
      </c>
      <c r="H46" s="198"/>
    </row>
    <row r="47" spans="1:9" s="187" customFormat="1" x14ac:dyDescent="0.2">
      <c r="A47" s="196" t="s">
        <v>65</v>
      </c>
      <c r="B47" s="197">
        <v>45847</v>
      </c>
      <c r="C47" s="198" t="s">
        <v>998</v>
      </c>
      <c r="D47" s="198" t="s">
        <v>1002</v>
      </c>
      <c r="E47" s="199" t="s">
        <v>66</v>
      </c>
      <c r="F47" s="199" t="s">
        <v>87</v>
      </c>
      <c r="G47" s="200">
        <v>15394.3</v>
      </c>
      <c r="H47" s="198"/>
    </row>
    <row r="48" spans="1:9" s="187" customFormat="1" x14ac:dyDescent="0.2">
      <c r="B48" s="330"/>
      <c r="C48" s="189"/>
      <c r="D48" s="189"/>
      <c r="E48" s="331"/>
      <c r="F48" s="331"/>
      <c r="G48" s="332"/>
      <c r="H48" s="189"/>
    </row>
    <row r="49" spans="1:9" s="195" customFormat="1" x14ac:dyDescent="0.2">
      <c r="A49" s="190" t="s">
        <v>59</v>
      </c>
      <c r="B49" s="190" t="s">
        <v>2</v>
      </c>
      <c r="C49" s="191" t="s">
        <v>60</v>
      </c>
      <c r="D49" s="191" t="s">
        <v>61</v>
      </c>
      <c r="E49" s="192" t="s">
        <v>62</v>
      </c>
      <c r="F49" s="192" t="s">
        <v>63</v>
      </c>
      <c r="G49" s="193">
        <f>SUM(G50:G53)</f>
        <v>872518.09000000008</v>
      </c>
      <c r="H49" s="191" t="s">
        <v>64</v>
      </c>
      <c r="I49" s="194"/>
    </row>
    <row r="50" spans="1:9" s="187" customFormat="1" x14ac:dyDescent="0.2">
      <c r="A50" s="196" t="s">
        <v>65</v>
      </c>
      <c r="B50" s="197">
        <v>45854</v>
      </c>
      <c r="C50" s="198" t="s">
        <v>1003</v>
      </c>
      <c r="D50" s="198" t="s">
        <v>1004</v>
      </c>
      <c r="E50" s="199" t="s">
        <v>66</v>
      </c>
      <c r="F50" s="199" t="s">
        <v>92</v>
      </c>
      <c r="G50" s="200">
        <v>18136.3</v>
      </c>
      <c r="H50" s="198"/>
    </row>
    <row r="51" spans="1:9" s="187" customFormat="1" x14ac:dyDescent="0.2">
      <c r="A51" s="196" t="s">
        <v>65</v>
      </c>
      <c r="B51" s="197">
        <v>45854</v>
      </c>
      <c r="C51" s="198" t="s">
        <v>1003</v>
      </c>
      <c r="D51" s="198" t="s">
        <v>1005</v>
      </c>
      <c r="E51" s="199" t="s">
        <v>66</v>
      </c>
      <c r="F51" s="199" t="s">
        <v>87</v>
      </c>
      <c r="G51" s="200">
        <v>803815.31</v>
      </c>
      <c r="H51" s="198"/>
    </row>
    <row r="52" spans="1:9" s="187" customFormat="1" x14ac:dyDescent="0.2">
      <c r="A52" s="196" t="s">
        <v>65</v>
      </c>
      <c r="B52" s="197">
        <v>45854</v>
      </c>
      <c r="C52" s="198" t="s">
        <v>1003</v>
      </c>
      <c r="D52" s="198" t="s">
        <v>1006</v>
      </c>
      <c r="E52" s="199" t="s">
        <v>66</v>
      </c>
      <c r="F52" s="199" t="s">
        <v>92</v>
      </c>
      <c r="G52" s="200">
        <v>45969.53</v>
      </c>
      <c r="H52" s="198"/>
    </row>
    <row r="53" spans="1:9" s="187" customFormat="1" x14ac:dyDescent="0.2">
      <c r="A53" s="196" t="s">
        <v>65</v>
      </c>
      <c r="B53" s="197">
        <v>45854</v>
      </c>
      <c r="C53" s="198" t="s">
        <v>1003</v>
      </c>
      <c r="D53" s="198" t="s">
        <v>1007</v>
      </c>
      <c r="E53" s="199" t="s">
        <v>66</v>
      </c>
      <c r="F53" s="199" t="s">
        <v>92</v>
      </c>
      <c r="G53" s="200">
        <v>4596.95</v>
      </c>
      <c r="H53" s="198"/>
    </row>
    <row r="54" spans="1:9" s="187" customFormat="1" x14ac:dyDescent="0.2">
      <c r="B54" s="330"/>
      <c r="C54" s="189"/>
      <c r="D54" s="189"/>
      <c r="E54" s="331"/>
      <c r="F54" s="331"/>
      <c r="G54" s="332"/>
      <c r="H54" s="189"/>
    </row>
    <row r="55" spans="1:9" s="195" customFormat="1" x14ac:dyDescent="0.2">
      <c r="A55" s="190" t="s">
        <v>59</v>
      </c>
      <c r="B55" s="190" t="s">
        <v>2</v>
      </c>
      <c r="C55" s="191" t="s">
        <v>60</v>
      </c>
      <c r="D55" s="191" t="s">
        <v>61</v>
      </c>
      <c r="E55" s="192" t="s">
        <v>62</v>
      </c>
      <c r="F55" s="192" t="s">
        <v>63</v>
      </c>
      <c r="G55" s="193">
        <f>SUM(G56:G60)</f>
        <v>334765.03000000003</v>
      </c>
      <c r="H55" s="191" t="s">
        <v>64</v>
      </c>
      <c r="I55" s="194"/>
    </row>
    <row r="56" spans="1:9" s="187" customFormat="1" x14ac:dyDescent="0.2">
      <c r="A56" s="196" t="s">
        <v>65</v>
      </c>
      <c r="B56" s="197">
        <v>45867</v>
      </c>
      <c r="C56" s="198" t="s">
        <v>1008</v>
      </c>
      <c r="D56" s="198" t="s">
        <v>1009</v>
      </c>
      <c r="E56" s="199" t="s">
        <v>66</v>
      </c>
      <c r="F56" s="199" t="s">
        <v>87</v>
      </c>
      <c r="G56" s="200">
        <v>4471.8599999999997</v>
      </c>
      <c r="H56" s="198"/>
      <c r="I56" s="187" t="s">
        <v>1192</v>
      </c>
    </row>
    <row r="57" spans="1:9" s="187" customFormat="1" x14ac:dyDescent="0.2">
      <c r="A57" s="196" t="s">
        <v>65</v>
      </c>
      <c r="B57" s="197">
        <v>45867</v>
      </c>
      <c r="C57" s="198" t="s">
        <v>1008</v>
      </c>
      <c r="D57" s="198" t="s">
        <v>1010</v>
      </c>
      <c r="E57" s="199" t="s">
        <v>66</v>
      </c>
      <c r="F57" s="199" t="s">
        <v>87</v>
      </c>
      <c r="G57" s="200">
        <v>86359.94</v>
      </c>
      <c r="H57" s="198"/>
    </row>
    <row r="58" spans="1:9" s="187" customFormat="1" x14ac:dyDescent="0.2">
      <c r="A58" s="196" t="s">
        <v>65</v>
      </c>
      <c r="B58" s="197">
        <v>45867</v>
      </c>
      <c r="C58" s="198" t="s">
        <v>1008</v>
      </c>
      <c r="D58" s="198" t="s">
        <v>1011</v>
      </c>
      <c r="E58" s="199" t="s">
        <v>66</v>
      </c>
      <c r="F58" s="199" t="s">
        <v>87</v>
      </c>
      <c r="G58" s="200">
        <v>111563.41</v>
      </c>
      <c r="H58" s="198"/>
    </row>
    <row r="59" spans="1:9" s="187" customFormat="1" x14ac:dyDescent="0.2">
      <c r="A59" s="196" t="s">
        <v>65</v>
      </c>
      <c r="B59" s="197">
        <v>45867</v>
      </c>
      <c r="C59" s="198" t="s">
        <v>1008</v>
      </c>
      <c r="D59" s="198" t="s">
        <v>1012</v>
      </c>
      <c r="E59" s="199" t="s">
        <v>66</v>
      </c>
      <c r="F59" s="199" t="s">
        <v>87</v>
      </c>
      <c r="G59" s="200">
        <v>77557.56</v>
      </c>
      <c r="H59" s="198"/>
    </row>
    <row r="60" spans="1:9" s="187" customFormat="1" x14ac:dyDescent="0.2">
      <c r="A60" s="196" t="s">
        <v>65</v>
      </c>
      <c r="B60" s="197">
        <v>45867</v>
      </c>
      <c r="C60" s="198" t="s">
        <v>1008</v>
      </c>
      <c r="D60" s="198" t="s">
        <v>1013</v>
      </c>
      <c r="E60" s="199" t="s">
        <v>66</v>
      </c>
      <c r="F60" s="199" t="s">
        <v>87</v>
      </c>
      <c r="G60" s="200">
        <v>54812.26</v>
      </c>
      <c r="H60" s="198"/>
    </row>
    <row r="62" spans="1:9" s="195" customFormat="1" x14ac:dyDescent="0.2">
      <c r="A62" s="190" t="s">
        <v>59</v>
      </c>
      <c r="B62" s="190" t="s">
        <v>2</v>
      </c>
      <c r="C62" s="191" t="s">
        <v>60</v>
      </c>
      <c r="D62" s="191" t="s">
        <v>61</v>
      </c>
      <c r="E62" s="192" t="s">
        <v>62</v>
      </c>
      <c r="F62" s="192" t="s">
        <v>63</v>
      </c>
      <c r="G62" s="193">
        <f>SUM(G63:G87)</f>
        <v>25894511.27</v>
      </c>
      <c r="H62" s="191" t="s">
        <v>64</v>
      </c>
      <c r="I62" s="194"/>
    </row>
    <row r="63" spans="1:9" s="187" customFormat="1" x14ac:dyDescent="0.2">
      <c r="A63" s="196" t="s">
        <v>65</v>
      </c>
      <c r="B63" s="197">
        <v>45877</v>
      </c>
      <c r="C63" s="198" t="s">
        <v>1014</v>
      </c>
      <c r="D63" s="198" t="s">
        <v>1016</v>
      </c>
      <c r="E63" s="199" t="s">
        <v>66</v>
      </c>
      <c r="F63" s="199" t="s">
        <v>87</v>
      </c>
      <c r="G63" s="200">
        <v>333.78</v>
      </c>
      <c r="H63" s="198"/>
    </row>
    <row r="64" spans="1:9" s="187" customFormat="1" x14ac:dyDescent="0.2">
      <c r="A64" s="196" t="s">
        <v>65</v>
      </c>
      <c r="B64" s="197">
        <v>45877</v>
      </c>
      <c r="C64" s="198" t="s">
        <v>1014</v>
      </c>
      <c r="D64" s="198" t="s">
        <v>1017</v>
      </c>
      <c r="E64" s="199" t="s">
        <v>66</v>
      </c>
      <c r="F64" s="199" t="s">
        <v>68</v>
      </c>
      <c r="G64" s="200">
        <v>176</v>
      </c>
      <c r="H64" s="198"/>
    </row>
    <row r="65" spans="1:8" s="187" customFormat="1" x14ac:dyDescent="0.2">
      <c r="A65" s="196" t="s">
        <v>65</v>
      </c>
      <c r="B65" s="197">
        <v>45877</v>
      </c>
      <c r="C65" s="198" t="s">
        <v>1014</v>
      </c>
      <c r="D65" s="198" t="s">
        <v>1018</v>
      </c>
      <c r="E65" s="199" t="s">
        <v>66</v>
      </c>
      <c r="F65" s="199" t="s">
        <v>69</v>
      </c>
      <c r="G65" s="200">
        <v>88</v>
      </c>
      <c r="H65" s="198"/>
    </row>
    <row r="66" spans="1:8" s="187" customFormat="1" x14ac:dyDescent="0.2">
      <c r="A66" s="196" t="s">
        <v>65</v>
      </c>
      <c r="B66" s="197">
        <v>45877</v>
      </c>
      <c r="C66" s="198" t="s">
        <v>1014</v>
      </c>
      <c r="D66" s="198" t="s">
        <v>1019</v>
      </c>
      <c r="E66" s="199" t="s">
        <v>66</v>
      </c>
      <c r="F66" s="199" t="s">
        <v>71</v>
      </c>
      <c r="G66" s="200">
        <v>239</v>
      </c>
      <c r="H66" s="198"/>
    </row>
    <row r="67" spans="1:8" s="187" customFormat="1" x14ac:dyDescent="0.2">
      <c r="A67" s="196" t="s">
        <v>65</v>
      </c>
      <c r="B67" s="197">
        <v>45877</v>
      </c>
      <c r="C67" s="198" t="s">
        <v>1014</v>
      </c>
      <c r="D67" s="198" t="s">
        <v>1020</v>
      </c>
      <c r="E67" s="199" t="s">
        <v>66</v>
      </c>
      <c r="F67" s="199" t="s">
        <v>73</v>
      </c>
      <c r="G67" s="200">
        <v>9182.76</v>
      </c>
      <c r="H67" s="198"/>
    </row>
    <row r="68" spans="1:8" s="187" customFormat="1" x14ac:dyDescent="0.2">
      <c r="A68" s="196" t="s">
        <v>65</v>
      </c>
      <c r="B68" s="197">
        <v>45877</v>
      </c>
      <c r="C68" s="198" t="s">
        <v>1014</v>
      </c>
      <c r="D68" s="198" t="s">
        <v>1021</v>
      </c>
      <c r="E68" s="199" t="s">
        <v>66</v>
      </c>
      <c r="F68" s="199" t="s">
        <v>88</v>
      </c>
      <c r="G68" s="200">
        <v>1664.16</v>
      </c>
      <c r="H68" s="198"/>
    </row>
    <row r="69" spans="1:8" s="187" customFormat="1" x14ac:dyDescent="0.2">
      <c r="A69" s="196" t="s">
        <v>65</v>
      </c>
      <c r="B69" s="197">
        <v>45877</v>
      </c>
      <c r="C69" s="198" t="s">
        <v>1014</v>
      </c>
      <c r="D69" s="198" t="s">
        <v>1022</v>
      </c>
      <c r="E69" s="199" t="s">
        <v>66</v>
      </c>
      <c r="F69" s="199" t="s">
        <v>74</v>
      </c>
      <c r="G69" s="200">
        <v>414561.37</v>
      </c>
      <c r="H69" s="198"/>
    </row>
    <row r="70" spans="1:8" s="187" customFormat="1" x14ac:dyDescent="0.2">
      <c r="A70" s="196" t="s">
        <v>65</v>
      </c>
      <c r="B70" s="197">
        <v>45877</v>
      </c>
      <c r="C70" s="198" t="s">
        <v>1014</v>
      </c>
      <c r="D70" s="198" t="s">
        <v>1023</v>
      </c>
      <c r="E70" s="199" t="s">
        <v>66</v>
      </c>
      <c r="F70" s="199" t="s">
        <v>76</v>
      </c>
      <c r="G70" s="200">
        <v>302.39</v>
      </c>
      <c r="H70" s="198"/>
    </row>
    <row r="71" spans="1:8" s="187" customFormat="1" x14ac:dyDescent="0.2">
      <c r="A71" s="196" t="s">
        <v>65</v>
      </c>
      <c r="B71" s="197">
        <v>45877</v>
      </c>
      <c r="C71" s="198" t="s">
        <v>1014</v>
      </c>
      <c r="D71" s="198" t="s">
        <v>1024</v>
      </c>
      <c r="E71" s="199" t="s">
        <v>66</v>
      </c>
      <c r="F71" s="199" t="s">
        <v>77</v>
      </c>
      <c r="G71" s="200">
        <v>414190.84</v>
      </c>
      <c r="H71" s="198"/>
    </row>
    <row r="72" spans="1:8" s="187" customFormat="1" x14ac:dyDescent="0.2">
      <c r="A72" s="196" t="s">
        <v>65</v>
      </c>
      <c r="B72" s="197">
        <v>45877</v>
      </c>
      <c r="C72" s="198" t="s">
        <v>1014</v>
      </c>
      <c r="D72" s="198" t="s">
        <v>1025</v>
      </c>
      <c r="E72" s="199" t="s">
        <v>66</v>
      </c>
      <c r="F72" s="199" t="s">
        <v>79</v>
      </c>
      <c r="G72" s="200">
        <v>84</v>
      </c>
      <c r="H72" s="198"/>
    </row>
    <row r="73" spans="1:8" s="187" customFormat="1" x14ac:dyDescent="0.2">
      <c r="A73" s="196" t="s">
        <v>65</v>
      </c>
      <c r="B73" s="197">
        <v>45877</v>
      </c>
      <c r="C73" s="198" t="s">
        <v>1014</v>
      </c>
      <c r="D73" s="198" t="s">
        <v>1026</v>
      </c>
      <c r="E73" s="199" t="s">
        <v>66</v>
      </c>
      <c r="F73" s="199" t="s">
        <v>80</v>
      </c>
      <c r="G73" s="200">
        <v>9048631.0099999998</v>
      </c>
      <c r="H73" s="198"/>
    </row>
    <row r="74" spans="1:8" s="187" customFormat="1" x14ac:dyDescent="0.2">
      <c r="A74" s="196" t="s">
        <v>65</v>
      </c>
      <c r="B74" s="197">
        <v>45877</v>
      </c>
      <c r="C74" s="198" t="s">
        <v>1014</v>
      </c>
      <c r="D74" s="198" t="s">
        <v>1027</v>
      </c>
      <c r="E74" s="199" t="s">
        <v>66</v>
      </c>
      <c r="F74" s="199" t="s">
        <v>87</v>
      </c>
      <c r="G74" s="200">
        <v>3830023.22</v>
      </c>
      <c r="H74" s="208"/>
    </row>
    <row r="75" spans="1:8" s="187" customFormat="1" x14ac:dyDescent="0.2">
      <c r="A75" s="196" t="s">
        <v>65</v>
      </c>
      <c r="B75" s="197">
        <v>45877</v>
      </c>
      <c r="C75" s="198" t="s">
        <v>1014</v>
      </c>
      <c r="D75" s="198" t="s">
        <v>1028</v>
      </c>
      <c r="E75" s="199" t="s">
        <v>66</v>
      </c>
      <c r="F75" s="199" t="s">
        <v>83</v>
      </c>
      <c r="G75" s="200">
        <v>110135.43</v>
      </c>
      <c r="H75" s="198"/>
    </row>
    <row r="76" spans="1:8" s="187" customFormat="1" x14ac:dyDescent="0.2">
      <c r="A76" s="196" t="s">
        <v>65</v>
      </c>
      <c r="B76" s="197">
        <v>45877</v>
      </c>
      <c r="C76" s="198" t="s">
        <v>1014</v>
      </c>
      <c r="D76" s="198" t="s">
        <v>1029</v>
      </c>
      <c r="E76" s="199" t="s">
        <v>66</v>
      </c>
      <c r="F76" s="199" t="s">
        <v>83</v>
      </c>
      <c r="G76" s="200">
        <v>24039.72</v>
      </c>
      <c r="H76" s="198"/>
    </row>
    <row r="77" spans="1:8" s="187" customFormat="1" x14ac:dyDescent="0.2">
      <c r="A77" s="196" t="s">
        <v>65</v>
      </c>
      <c r="B77" s="197">
        <v>45877</v>
      </c>
      <c r="C77" s="198" t="s">
        <v>1014</v>
      </c>
      <c r="D77" s="198" t="s">
        <v>1030</v>
      </c>
      <c r="E77" s="199" t="s">
        <v>66</v>
      </c>
      <c r="F77" s="201" t="s">
        <v>83</v>
      </c>
      <c r="G77" s="202">
        <v>9639.31</v>
      </c>
      <c r="H77" s="198"/>
    </row>
    <row r="78" spans="1:8" s="187" customFormat="1" x14ac:dyDescent="0.2">
      <c r="A78" s="212" t="s">
        <v>65</v>
      </c>
      <c r="B78" s="213">
        <v>45877</v>
      </c>
      <c r="C78" s="207" t="s">
        <v>1014</v>
      </c>
      <c r="D78" s="207" t="s">
        <v>1031</v>
      </c>
      <c r="E78" s="214" t="s">
        <v>66</v>
      </c>
      <c r="F78" s="214" t="s">
        <v>89</v>
      </c>
      <c r="G78" s="215">
        <v>103.93</v>
      </c>
      <c r="H78" s="207" t="s">
        <v>1015</v>
      </c>
    </row>
    <row r="79" spans="1:8" s="187" customFormat="1" x14ac:dyDescent="0.2">
      <c r="A79" s="196" t="s">
        <v>65</v>
      </c>
      <c r="B79" s="197">
        <v>45877</v>
      </c>
      <c r="C79" s="198" t="s">
        <v>1014</v>
      </c>
      <c r="D79" s="198" t="s">
        <v>1032</v>
      </c>
      <c r="E79" s="199" t="s">
        <v>66</v>
      </c>
      <c r="F79" s="199" t="s">
        <v>93</v>
      </c>
      <c r="G79" s="200">
        <v>13.09</v>
      </c>
      <c r="H79" s="198"/>
    </row>
    <row r="80" spans="1:8" s="187" customFormat="1" x14ac:dyDescent="0.2">
      <c r="A80" s="203" t="s">
        <v>65</v>
      </c>
      <c r="B80" s="197">
        <v>45877</v>
      </c>
      <c r="C80" s="198" t="s">
        <v>1014</v>
      </c>
      <c r="D80" s="204" t="s">
        <v>1033</v>
      </c>
      <c r="E80" s="199" t="s">
        <v>66</v>
      </c>
      <c r="F80" s="205" t="s">
        <v>94</v>
      </c>
      <c r="G80" s="206">
        <v>536.78</v>
      </c>
      <c r="H80" s="207"/>
    </row>
    <row r="81" spans="1:9" s="209" customFormat="1" x14ac:dyDescent="0.2">
      <c r="A81" s="196" t="s">
        <v>65</v>
      </c>
      <c r="B81" s="197">
        <v>45877</v>
      </c>
      <c r="C81" s="198" t="s">
        <v>1014</v>
      </c>
      <c r="D81" s="198" t="s">
        <v>1034</v>
      </c>
      <c r="E81" s="199" t="s">
        <v>66</v>
      </c>
      <c r="F81" s="199" t="s">
        <v>90</v>
      </c>
      <c r="G81" s="200">
        <v>88088</v>
      </c>
      <c r="H81" s="208"/>
    </row>
    <row r="82" spans="1:9" s="211" customFormat="1" x14ac:dyDescent="0.2">
      <c r="A82" s="196" t="s">
        <v>65</v>
      </c>
      <c r="B82" s="197">
        <v>45877</v>
      </c>
      <c r="C82" s="198" t="s">
        <v>1014</v>
      </c>
      <c r="D82" s="198" t="s">
        <v>1035</v>
      </c>
      <c r="E82" s="199" t="s">
        <v>66</v>
      </c>
      <c r="F82" s="199" t="s">
        <v>86</v>
      </c>
      <c r="G82" s="200">
        <v>411.56</v>
      </c>
      <c r="H82" s="210"/>
    </row>
    <row r="83" spans="1:9" s="187" customFormat="1" x14ac:dyDescent="0.2">
      <c r="A83" s="196" t="s">
        <v>65</v>
      </c>
      <c r="B83" s="197">
        <v>45877</v>
      </c>
      <c r="C83" s="198" t="s">
        <v>1014</v>
      </c>
      <c r="D83" s="198" t="s">
        <v>1036</v>
      </c>
      <c r="E83" s="199" t="s">
        <v>66</v>
      </c>
      <c r="F83" s="199" t="s">
        <v>87</v>
      </c>
      <c r="G83" s="200">
        <v>4185.21</v>
      </c>
      <c r="H83" s="216"/>
    </row>
    <row r="84" spans="1:9" s="187" customFormat="1" x14ac:dyDescent="0.2">
      <c r="A84" s="196" t="s">
        <v>65</v>
      </c>
      <c r="B84" s="197">
        <v>45877</v>
      </c>
      <c r="C84" s="198" t="s">
        <v>1014</v>
      </c>
      <c r="D84" s="198" t="s">
        <v>1037</v>
      </c>
      <c r="E84" s="199" t="s">
        <v>66</v>
      </c>
      <c r="F84" s="199" t="s">
        <v>91</v>
      </c>
      <c r="G84" s="200">
        <v>5521912.3799999999</v>
      </c>
      <c r="H84" s="198"/>
    </row>
    <row r="85" spans="1:9" s="187" customFormat="1" x14ac:dyDescent="0.2">
      <c r="A85" s="196" t="s">
        <v>65</v>
      </c>
      <c r="B85" s="197">
        <v>45877</v>
      </c>
      <c r="C85" s="198" t="s">
        <v>1014</v>
      </c>
      <c r="D85" s="198" t="s">
        <v>1038</v>
      </c>
      <c r="E85" s="199" t="s">
        <v>66</v>
      </c>
      <c r="F85" s="199" t="s">
        <v>91</v>
      </c>
      <c r="G85" s="200">
        <v>2799689.9</v>
      </c>
      <c r="H85" s="198"/>
    </row>
    <row r="86" spans="1:9" s="187" customFormat="1" x14ac:dyDescent="0.2">
      <c r="A86" s="196" t="s">
        <v>65</v>
      </c>
      <c r="B86" s="197">
        <v>45877</v>
      </c>
      <c r="C86" s="198" t="s">
        <v>1014</v>
      </c>
      <c r="D86" s="198" t="s">
        <v>1039</v>
      </c>
      <c r="E86" s="199" t="s">
        <v>66</v>
      </c>
      <c r="F86" s="199" t="s">
        <v>91</v>
      </c>
      <c r="G86" s="200">
        <v>2979396.85</v>
      </c>
      <c r="H86" s="217"/>
    </row>
    <row r="87" spans="1:9" s="187" customFormat="1" x14ac:dyDescent="0.2">
      <c r="A87" s="196" t="s">
        <v>65</v>
      </c>
      <c r="B87" s="197">
        <v>45877</v>
      </c>
      <c r="C87" s="198" t="s">
        <v>1014</v>
      </c>
      <c r="D87" s="218" t="s">
        <v>1040</v>
      </c>
      <c r="E87" s="199" t="s">
        <v>66</v>
      </c>
      <c r="F87" s="201" t="s">
        <v>91</v>
      </c>
      <c r="G87" s="202">
        <v>636882.57999999996</v>
      </c>
      <c r="H87" s="219"/>
      <c r="I87" s="220"/>
    </row>
    <row r="89" spans="1:9" s="195" customFormat="1" x14ac:dyDescent="0.2">
      <c r="A89" s="190" t="s">
        <v>59</v>
      </c>
      <c r="B89" s="190" t="s">
        <v>2</v>
      </c>
      <c r="C89" s="191" t="s">
        <v>60</v>
      </c>
      <c r="D89" s="191" t="s">
        <v>61</v>
      </c>
      <c r="E89" s="192" t="s">
        <v>62</v>
      </c>
      <c r="F89" s="192" t="s">
        <v>63</v>
      </c>
      <c r="G89" s="193">
        <f>SUM(G90:G102)</f>
        <v>18077541.43</v>
      </c>
      <c r="H89" s="191" t="s">
        <v>64</v>
      </c>
      <c r="I89" s="194"/>
    </row>
    <row r="90" spans="1:9" s="187" customFormat="1" x14ac:dyDescent="0.2">
      <c r="A90" s="196" t="s">
        <v>65</v>
      </c>
      <c r="B90" s="197">
        <v>45877</v>
      </c>
      <c r="C90" s="198" t="s">
        <v>1041</v>
      </c>
      <c r="D90" s="198" t="s">
        <v>1042</v>
      </c>
      <c r="E90" s="199" t="s">
        <v>66</v>
      </c>
      <c r="F90" s="199" t="s">
        <v>67</v>
      </c>
      <c r="G90" s="200">
        <v>19.579999999999998</v>
      </c>
      <c r="H90" s="198"/>
    </row>
    <row r="91" spans="1:9" s="187" customFormat="1" x14ac:dyDescent="0.2">
      <c r="A91" s="196" t="s">
        <v>65</v>
      </c>
      <c r="B91" s="197">
        <v>45877</v>
      </c>
      <c r="C91" s="198" t="s">
        <v>1041</v>
      </c>
      <c r="D91" s="198" t="s">
        <v>1043</v>
      </c>
      <c r="E91" s="199" t="s">
        <v>66</v>
      </c>
      <c r="F91" s="199" t="s">
        <v>70</v>
      </c>
      <c r="G91" s="200">
        <v>20418.11</v>
      </c>
      <c r="H91" s="198"/>
    </row>
    <row r="92" spans="1:9" s="187" customFormat="1" x14ac:dyDescent="0.2">
      <c r="A92" s="196" t="s">
        <v>65</v>
      </c>
      <c r="B92" s="197">
        <v>45877</v>
      </c>
      <c r="C92" s="198" t="s">
        <v>1041</v>
      </c>
      <c r="D92" s="198" t="s">
        <v>1044</v>
      </c>
      <c r="E92" s="199" t="s">
        <v>66</v>
      </c>
      <c r="F92" s="199" t="s">
        <v>72</v>
      </c>
      <c r="G92" s="200">
        <v>150</v>
      </c>
      <c r="H92" s="198"/>
    </row>
    <row r="93" spans="1:9" s="187" customFormat="1" x14ac:dyDescent="0.2">
      <c r="A93" s="196" t="s">
        <v>65</v>
      </c>
      <c r="B93" s="197">
        <v>45877</v>
      </c>
      <c r="C93" s="198" t="s">
        <v>1041</v>
      </c>
      <c r="D93" s="198" t="s">
        <v>1045</v>
      </c>
      <c r="E93" s="199" t="s">
        <v>66</v>
      </c>
      <c r="F93" s="199" t="s">
        <v>74</v>
      </c>
      <c r="G93" s="200">
        <v>779949.74</v>
      </c>
      <c r="H93" s="198"/>
    </row>
    <row r="94" spans="1:9" s="187" customFormat="1" x14ac:dyDescent="0.2">
      <c r="A94" s="196" t="s">
        <v>65</v>
      </c>
      <c r="B94" s="197">
        <v>45877</v>
      </c>
      <c r="C94" s="198" t="s">
        <v>1041</v>
      </c>
      <c r="D94" s="198" t="s">
        <v>1046</v>
      </c>
      <c r="E94" s="199" t="s">
        <v>66</v>
      </c>
      <c r="F94" s="199" t="s">
        <v>75</v>
      </c>
      <c r="G94" s="200">
        <v>41266.43</v>
      </c>
      <c r="H94" s="198"/>
    </row>
    <row r="95" spans="1:9" s="187" customFormat="1" x14ac:dyDescent="0.2">
      <c r="A95" s="196" t="s">
        <v>65</v>
      </c>
      <c r="B95" s="197">
        <v>45877</v>
      </c>
      <c r="C95" s="198" t="s">
        <v>1041</v>
      </c>
      <c r="D95" s="198" t="s">
        <v>1047</v>
      </c>
      <c r="E95" s="199" t="s">
        <v>66</v>
      </c>
      <c r="F95" s="199" t="s">
        <v>78</v>
      </c>
      <c r="G95" s="200">
        <v>745</v>
      </c>
      <c r="H95" s="198"/>
    </row>
    <row r="96" spans="1:9" s="187" customFormat="1" x14ac:dyDescent="0.2">
      <c r="A96" s="196" t="s">
        <v>65</v>
      </c>
      <c r="B96" s="197">
        <v>45877</v>
      </c>
      <c r="C96" s="198" t="s">
        <v>1041</v>
      </c>
      <c r="D96" s="198" t="s">
        <v>1048</v>
      </c>
      <c r="E96" s="199" t="s">
        <v>66</v>
      </c>
      <c r="F96" s="199" t="s">
        <v>81</v>
      </c>
      <c r="G96" s="200">
        <v>4218.3599999999997</v>
      </c>
      <c r="H96" s="198"/>
    </row>
    <row r="97" spans="1:8" s="187" customFormat="1" x14ac:dyDescent="0.2">
      <c r="A97" s="196" t="s">
        <v>65</v>
      </c>
      <c r="B97" s="197">
        <v>45877</v>
      </c>
      <c r="C97" s="198" t="s">
        <v>1041</v>
      </c>
      <c r="D97" s="198" t="s">
        <v>1049</v>
      </c>
      <c r="E97" s="199" t="s">
        <v>66</v>
      </c>
      <c r="F97" s="199" t="s">
        <v>82</v>
      </c>
      <c r="G97" s="200">
        <v>3169502.44</v>
      </c>
      <c r="H97" s="198"/>
    </row>
    <row r="98" spans="1:8" s="187" customFormat="1" x14ac:dyDescent="0.2">
      <c r="A98" s="196" t="s">
        <v>65</v>
      </c>
      <c r="B98" s="197">
        <v>45877</v>
      </c>
      <c r="C98" s="198" t="s">
        <v>1041</v>
      </c>
      <c r="D98" s="198" t="s">
        <v>1050</v>
      </c>
      <c r="E98" s="199" t="s">
        <v>66</v>
      </c>
      <c r="F98" s="199" t="s">
        <v>84</v>
      </c>
      <c r="G98" s="200">
        <v>177307.53</v>
      </c>
      <c r="H98" s="198"/>
    </row>
    <row r="99" spans="1:8" s="187" customFormat="1" x14ac:dyDescent="0.2">
      <c r="A99" s="196" t="s">
        <v>65</v>
      </c>
      <c r="B99" s="197">
        <v>45877</v>
      </c>
      <c r="C99" s="198" t="s">
        <v>1041</v>
      </c>
      <c r="D99" s="198" t="s">
        <v>1051</v>
      </c>
      <c r="E99" s="199" t="s">
        <v>66</v>
      </c>
      <c r="F99" s="199" t="s">
        <v>85</v>
      </c>
      <c r="G99" s="200">
        <v>320.23</v>
      </c>
      <c r="H99" s="198"/>
    </row>
    <row r="100" spans="1:8" s="187" customFormat="1" x14ac:dyDescent="0.2">
      <c r="A100" s="196" t="s">
        <v>65</v>
      </c>
      <c r="B100" s="197">
        <v>45877</v>
      </c>
      <c r="C100" s="198" t="s">
        <v>1041</v>
      </c>
      <c r="D100" s="198" t="s">
        <v>1052</v>
      </c>
      <c r="E100" s="199" t="s">
        <v>66</v>
      </c>
      <c r="F100" s="199" t="s">
        <v>87</v>
      </c>
      <c r="G100" s="200">
        <v>9178321.1600000001</v>
      </c>
      <c r="H100" s="198"/>
    </row>
    <row r="101" spans="1:8" s="187" customFormat="1" x14ac:dyDescent="0.2">
      <c r="A101" s="196" t="s">
        <v>65</v>
      </c>
      <c r="B101" s="197">
        <v>45877</v>
      </c>
      <c r="C101" s="198" t="s">
        <v>1041</v>
      </c>
      <c r="D101" s="198" t="s">
        <v>1053</v>
      </c>
      <c r="E101" s="199" t="s">
        <v>66</v>
      </c>
      <c r="F101" s="199" t="s">
        <v>91</v>
      </c>
      <c r="G101" s="200">
        <v>2799689.9</v>
      </c>
      <c r="H101" s="208"/>
    </row>
    <row r="102" spans="1:8" s="187" customFormat="1" x14ac:dyDescent="0.2">
      <c r="A102" s="196" t="s">
        <v>65</v>
      </c>
      <c r="B102" s="197">
        <v>45877</v>
      </c>
      <c r="C102" s="198" t="s">
        <v>1041</v>
      </c>
      <c r="D102" s="198" t="s">
        <v>1054</v>
      </c>
      <c r="E102" s="199" t="s">
        <v>66</v>
      </c>
      <c r="F102" s="199" t="s">
        <v>91</v>
      </c>
      <c r="G102" s="200">
        <v>1905632.95</v>
      </c>
      <c r="H102" s="198"/>
    </row>
    <row r="104" spans="1:8" s="195" customFormat="1" x14ac:dyDescent="0.2">
      <c r="A104" s="190" t="s">
        <v>59</v>
      </c>
      <c r="B104" s="190" t="s">
        <v>2</v>
      </c>
      <c r="C104" s="191" t="s">
        <v>60</v>
      </c>
      <c r="D104" s="191" t="s">
        <v>61</v>
      </c>
      <c r="E104" s="192" t="s">
        <v>62</v>
      </c>
      <c r="F104" s="192" t="s">
        <v>63</v>
      </c>
      <c r="G104" s="193">
        <f>SUM(G105:G107)</f>
        <v>67528.53</v>
      </c>
      <c r="H104" s="191" t="s">
        <v>64</v>
      </c>
    </row>
    <row r="105" spans="1:8" s="187" customFormat="1" x14ac:dyDescent="0.2">
      <c r="A105" s="196" t="s">
        <v>65</v>
      </c>
      <c r="B105" s="197">
        <v>45884</v>
      </c>
      <c r="C105" s="221" t="s">
        <v>1055</v>
      </c>
      <c r="D105" s="198" t="s">
        <v>1056</v>
      </c>
      <c r="E105" s="199" t="s">
        <v>66</v>
      </c>
      <c r="F105" s="248" t="s">
        <v>92</v>
      </c>
      <c r="G105" s="200">
        <v>17827.7</v>
      </c>
      <c r="H105" s="198"/>
    </row>
    <row r="106" spans="1:8" s="187" customFormat="1" x14ac:dyDescent="0.2">
      <c r="A106" s="196" t="s">
        <v>65</v>
      </c>
      <c r="B106" s="197">
        <v>45884</v>
      </c>
      <c r="C106" s="221" t="s">
        <v>1055</v>
      </c>
      <c r="D106" s="198" t="s">
        <v>1057</v>
      </c>
      <c r="E106" s="199" t="s">
        <v>66</v>
      </c>
      <c r="F106" s="248" t="s">
        <v>92</v>
      </c>
      <c r="G106" s="200">
        <v>45182.57</v>
      </c>
      <c r="H106" s="198"/>
    </row>
    <row r="107" spans="1:8" s="187" customFormat="1" x14ac:dyDescent="0.2">
      <c r="A107" s="196" t="s">
        <v>65</v>
      </c>
      <c r="B107" s="197">
        <v>45884</v>
      </c>
      <c r="C107" s="221" t="s">
        <v>1055</v>
      </c>
      <c r="D107" s="198" t="s">
        <v>1058</v>
      </c>
      <c r="E107" s="199" t="s">
        <v>66</v>
      </c>
      <c r="F107" s="248" t="s">
        <v>92</v>
      </c>
      <c r="G107" s="200">
        <v>4518.26</v>
      </c>
      <c r="H107" s="19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BF7B-7FD7-4D8F-B089-62E911803857}">
  <dimension ref="B2:I59"/>
  <sheetViews>
    <sheetView topLeftCell="A35" zoomScale="115" zoomScaleNormal="115" workbookViewId="0">
      <selection activeCell="E58" sqref="E58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1.28515625" style="62" bestFit="1" customWidth="1"/>
    <col min="9" max="9" width="19.42578125" style="62" customWidth="1"/>
    <col min="10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1194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65206.600000000006</v>
      </c>
      <c r="F5" s="104">
        <f>E5+'Saldos - 06-2025'!F5</f>
        <v>476447.67999999993</v>
      </c>
    </row>
    <row r="6" spans="2:8" x14ac:dyDescent="0.25">
      <c r="B6" s="401" t="s">
        <v>405</v>
      </c>
      <c r="C6" s="402"/>
      <c r="D6" s="402"/>
      <c r="E6" s="105">
        <v>0</v>
      </c>
      <c r="F6" s="104">
        <f>E6+'Saldos - 06-2025'!F6</f>
        <v>1648620.1</v>
      </c>
    </row>
    <row r="7" spans="2:8" x14ac:dyDescent="0.25">
      <c r="B7" s="401" t="s">
        <v>406</v>
      </c>
      <c r="C7" s="402"/>
      <c r="D7" s="402"/>
      <c r="E7" s="105">
        <v>52818283.770000003</v>
      </c>
      <c r="F7" s="104">
        <f>E7+'Saldos - 06-2025'!F7</f>
        <v>523927462.72999996</v>
      </c>
    </row>
    <row r="8" spans="2:8" x14ac:dyDescent="0.25">
      <c r="B8" s="401" t="s">
        <v>407</v>
      </c>
      <c r="C8" s="402"/>
      <c r="D8" s="402"/>
      <c r="E8" s="105">
        <v>14031056.719999999</v>
      </c>
      <c r="F8" s="104">
        <f>E8+'Saldos - 06-2025'!F8</f>
        <v>108471778.23</v>
      </c>
    </row>
    <row r="9" spans="2:8" x14ac:dyDescent="0.25">
      <c r="B9" s="401" t="s">
        <v>408</v>
      </c>
      <c r="C9" s="402"/>
      <c r="D9" s="402"/>
      <c r="E9" s="105">
        <v>2597901.75</v>
      </c>
      <c r="F9" s="104">
        <f>E9+'Saldos - 06-2025'!F9</f>
        <v>12959055.82</v>
      </c>
    </row>
    <row r="10" spans="2:8" x14ac:dyDescent="0.25">
      <c r="B10" s="401" t="s">
        <v>409</v>
      </c>
      <c r="C10" s="402"/>
      <c r="D10" s="402"/>
      <c r="E10" s="105">
        <v>7573.1200000000008</v>
      </c>
      <c r="F10" s="104">
        <f>E10+'Saldos - 06-2025'!F10</f>
        <v>192089.52</v>
      </c>
    </row>
    <row r="11" spans="2:8" x14ac:dyDescent="0.25">
      <c r="B11" s="401" t="s">
        <v>410</v>
      </c>
      <c r="C11" s="402"/>
      <c r="D11" s="402"/>
      <c r="E11" s="105">
        <v>438.16999999999996</v>
      </c>
      <c r="F11" s="104">
        <f>E11+'Saldos - 06-2025'!F11</f>
        <v>6493.8600000000006</v>
      </c>
    </row>
    <row r="12" spans="2:8" x14ac:dyDescent="0.25">
      <c r="B12" s="403" t="s">
        <v>411</v>
      </c>
      <c r="C12" s="404"/>
      <c r="D12" s="404"/>
      <c r="E12" s="107">
        <v>103.93</v>
      </c>
      <c r="F12" s="108">
        <f>E12+'Saldos - 06-2025'!F12</f>
        <v>638.08000000000015</v>
      </c>
    </row>
    <row r="13" spans="2:8" ht="15.75" thickBot="1" x14ac:dyDescent="0.3">
      <c r="B13" s="405" t="s">
        <v>412</v>
      </c>
      <c r="C13" s="406"/>
      <c r="D13" s="406"/>
      <c r="E13" s="110">
        <v>75048204.890000015</v>
      </c>
      <c r="F13" s="111">
        <f>E13+'Saldos - 06-2025'!F13</f>
        <v>486453512.40999997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144568768.95000005</v>
      </c>
      <c r="F14" s="100">
        <f>SUM(F5:F13)</f>
        <v>1134136098.4299998</v>
      </c>
      <c r="H14" s="360">
        <f>('Extrato 07-2025'!C2+'Extrato 06-2025'!C2+'Extrato 05-2025'!C2+'Extrato 03-2025'!C2+'Extrato 04-2025'!C2+'Extrato 02-2025'!C2+'Extrato 01-2025'!C2)-F14</f>
        <v>144568768.95000029</v>
      </c>
    </row>
    <row r="15" spans="2:8" x14ac:dyDescent="0.25">
      <c r="B15" s="419" t="s">
        <v>414</v>
      </c>
      <c r="C15" s="420"/>
      <c r="D15" s="420"/>
      <c r="E15" s="316">
        <v>-41266.06</v>
      </c>
      <c r="F15" s="241">
        <f>E15+'Saldos - 06-2025'!F15</f>
        <v>-301520.52</v>
      </c>
    </row>
    <row r="16" spans="2:8" x14ac:dyDescent="0.25">
      <c r="B16" s="413" t="s">
        <v>415</v>
      </c>
      <c r="C16" s="414"/>
      <c r="D16" s="414"/>
      <c r="E16" s="318">
        <f>-E12</f>
        <v>-103.93</v>
      </c>
      <c r="F16" s="242">
        <f>E16+'Saldos - 06-2025'!F16</f>
        <v>-638.08000000000015</v>
      </c>
    </row>
    <row r="17" spans="2:8" x14ac:dyDescent="0.25">
      <c r="B17" s="415" t="s">
        <v>439</v>
      </c>
      <c r="C17" s="416"/>
      <c r="D17" s="416"/>
      <c r="E17" s="320">
        <f>-E13</f>
        <v>-75048204.890000015</v>
      </c>
      <c r="F17" s="111">
        <f>E17+'Saldos - 06-2025'!F17</f>
        <v>-486453512.40999997</v>
      </c>
    </row>
    <row r="18" spans="2:8" ht="15.75" thickBot="1" x14ac:dyDescent="0.3">
      <c r="B18" s="417" t="s">
        <v>440</v>
      </c>
      <c r="C18" s="418"/>
      <c r="D18" s="418"/>
      <c r="E18" s="322">
        <v>0</v>
      </c>
      <c r="F18" s="323"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69479194.070000023</v>
      </c>
      <c r="F19" s="122">
        <f>SUM(F14:F18)</f>
        <v>647215781.7299999</v>
      </c>
      <c r="G19" s="313" t="s">
        <v>927</v>
      </c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41266.06</v>
      </c>
      <c r="F22" s="130">
        <f>E22+'Saldos - 06-2025'!F22</f>
        <v>301520.51999999996</v>
      </c>
    </row>
    <row r="23" spans="2:8" x14ac:dyDescent="0.25">
      <c r="B23" s="383" t="s">
        <v>442</v>
      </c>
      <c r="C23" s="384"/>
      <c r="D23" s="384"/>
      <c r="E23" s="109">
        <v>103.93</v>
      </c>
      <c r="F23" s="131">
        <f>E23+'Saldos - 06-2025'!F23</f>
        <v>103.93</v>
      </c>
    </row>
    <row r="24" spans="2:8" x14ac:dyDescent="0.25">
      <c r="B24" s="383" t="s">
        <v>914</v>
      </c>
      <c r="C24" s="384"/>
      <c r="D24" s="384"/>
      <c r="E24" s="109">
        <v>44668577.990000002</v>
      </c>
      <c r="F24" s="131">
        <f>E24+'Saldos - 06-2025'!F24</f>
        <v>251931089.31999999</v>
      </c>
    </row>
    <row r="25" spans="2:8" x14ac:dyDescent="0.25">
      <c r="B25" s="383" t="s">
        <v>433</v>
      </c>
      <c r="C25" s="384"/>
      <c r="D25" s="384"/>
      <c r="E25" s="109"/>
      <c r="F25" s="131">
        <f>E25+'Saldos - 06-2025'!F25</f>
        <v>34311367.489999995</v>
      </c>
    </row>
    <row r="26" spans="2:8" x14ac:dyDescent="0.25">
      <c r="B26" s="383" t="s">
        <v>447</v>
      </c>
      <c r="C26" s="384"/>
      <c r="D26" s="384"/>
      <c r="E26" s="109"/>
      <c r="F26" s="131">
        <f>E26+'Saldos - 06-2025'!F26</f>
        <v>34175581.810000002</v>
      </c>
    </row>
    <row r="27" spans="2:8" x14ac:dyDescent="0.25">
      <c r="B27" s="383" t="s">
        <v>626</v>
      </c>
      <c r="C27" s="384"/>
      <c r="D27" s="384"/>
      <c r="E27" s="109"/>
      <c r="F27" s="131">
        <f>E27+'Saldos - 06-2025'!F27</f>
        <v>33980887.539999999</v>
      </c>
    </row>
    <row r="28" spans="2:8" x14ac:dyDescent="0.25">
      <c r="B28" s="383" t="s">
        <v>632</v>
      </c>
      <c r="C28" s="384"/>
      <c r="D28" s="384"/>
      <c r="E28" s="109"/>
      <c r="F28" s="131">
        <f>E28+'Saldos - 06-2025'!F28</f>
        <v>35798381.659999996</v>
      </c>
    </row>
    <row r="29" spans="2:8" x14ac:dyDescent="0.25">
      <c r="B29" s="383" t="s">
        <v>915</v>
      </c>
      <c r="C29" s="384"/>
      <c r="D29" s="384"/>
      <c r="E29" s="109"/>
      <c r="F29" s="131">
        <f>E29+'Saldos - 06-2025'!F29</f>
        <v>35751704.669999994</v>
      </c>
    </row>
    <row r="30" spans="2:8" x14ac:dyDescent="0.25">
      <c r="B30" s="383" t="s">
        <v>933</v>
      </c>
      <c r="C30" s="384"/>
      <c r="D30" s="384"/>
      <c r="E30" s="109"/>
      <c r="F30" s="131">
        <f>E30+'Saldos - 06-2025'!F30</f>
        <v>36411167.659999996</v>
      </c>
    </row>
    <row r="31" spans="2:8" x14ac:dyDescent="0.25">
      <c r="B31" s="383" t="s">
        <v>1196</v>
      </c>
      <c r="C31" s="384"/>
      <c r="D31" s="384"/>
      <c r="E31" s="109">
        <v>35846109.589999996</v>
      </c>
      <c r="F31" s="131">
        <f>E31</f>
        <v>35846109.589999996</v>
      </c>
    </row>
    <row r="32" spans="2:8" x14ac:dyDescent="0.25">
      <c r="B32" s="383" t="s">
        <v>1197</v>
      </c>
      <c r="C32" s="384"/>
      <c r="D32" s="384"/>
      <c r="E32" s="109">
        <v>18359119.670000002</v>
      </c>
      <c r="F32" s="131">
        <f>E32+'Saldos - 06-2025'!F31</f>
        <v>34056995.270000003</v>
      </c>
    </row>
    <row r="33" spans="2:9" x14ac:dyDescent="0.25">
      <c r="B33" s="383" t="s">
        <v>1198</v>
      </c>
      <c r="C33" s="384"/>
      <c r="D33" s="384"/>
      <c r="E33" s="109"/>
      <c r="F33" s="131">
        <f>E33+'Saldos - 06-2025'!F32</f>
        <v>31778758.699999996</v>
      </c>
    </row>
    <row r="34" spans="2:9" x14ac:dyDescent="0.25">
      <c r="B34" s="383" t="s">
        <v>1199</v>
      </c>
      <c r="C34" s="384"/>
      <c r="D34" s="384"/>
      <c r="E34" s="109"/>
      <c r="F34" s="131">
        <f>E34+'Saldos - 06-2025'!F33</f>
        <v>164645.69</v>
      </c>
    </row>
    <row r="35" spans="2:9" x14ac:dyDescent="0.25">
      <c r="B35" s="383" t="s">
        <v>1200</v>
      </c>
      <c r="C35" s="384"/>
      <c r="D35" s="384"/>
      <c r="E35" s="116">
        <v>333.78</v>
      </c>
      <c r="F35" s="131">
        <f>E35+'Saldos - 06-2025'!F34</f>
        <v>4005.3599999999997</v>
      </c>
    </row>
    <row r="36" spans="2:9" x14ac:dyDescent="0.25">
      <c r="B36" s="383" t="s">
        <v>1201</v>
      </c>
      <c r="C36" s="384"/>
      <c r="D36" s="384"/>
      <c r="E36" s="116">
        <v>10029.56</v>
      </c>
      <c r="F36" s="131">
        <f>E36+'Saldos - 06-2025'!F35</f>
        <v>40474.149999999994</v>
      </c>
    </row>
    <row r="37" spans="2:9" x14ac:dyDescent="0.25">
      <c r="B37" s="387" t="s">
        <v>451</v>
      </c>
      <c r="C37" s="388"/>
      <c r="D37" s="388"/>
      <c r="E37" s="134">
        <v>28.8</v>
      </c>
      <c r="F37" s="135">
        <f>E37+'Saldos - 06-2025'!F36</f>
        <v>7554.71</v>
      </c>
      <c r="H37" s="123"/>
    </row>
    <row r="38" spans="2:9" ht="15.75" thickBot="1" x14ac:dyDescent="0.3">
      <c r="B38" s="389" t="s">
        <v>444</v>
      </c>
      <c r="C38" s="390"/>
      <c r="D38" s="390"/>
      <c r="E38" s="136">
        <v>45643199.57</v>
      </c>
      <c r="F38" s="137">
        <f>E38+'Saldos - 06-2025'!F37</f>
        <v>569575750.36000001</v>
      </c>
      <c r="H38" s="123"/>
    </row>
    <row r="39" spans="2:9" ht="15.75" thickBot="1" x14ac:dyDescent="0.3">
      <c r="B39" s="391" t="s">
        <v>418</v>
      </c>
      <c r="C39" s="392"/>
      <c r="D39" s="392"/>
      <c r="E39" s="127">
        <f>SUM(E22:E38)</f>
        <v>144568768.94999999</v>
      </c>
      <c r="F39" s="138">
        <f>SUM(F22:F38)</f>
        <v>1134136098.4300001</v>
      </c>
      <c r="G39" s="313" t="s">
        <v>927</v>
      </c>
      <c r="H39" s="123"/>
    </row>
    <row r="40" spans="2:9" x14ac:dyDescent="0.25">
      <c r="B40" s="374" t="s">
        <v>419</v>
      </c>
      <c r="C40" s="375"/>
      <c r="D40" s="376"/>
      <c r="E40" s="112">
        <f>-E22</f>
        <v>-41266.06</v>
      </c>
      <c r="F40" s="139">
        <f>E40+'Saldos - 06-2025'!F39</f>
        <v>-301520.51999999996</v>
      </c>
      <c r="H40" s="94"/>
      <c r="I40" s="94"/>
    </row>
    <row r="41" spans="2:9" x14ac:dyDescent="0.25">
      <c r="B41" s="377" t="s">
        <v>420</v>
      </c>
      <c r="C41" s="378"/>
      <c r="D41" s="379"/>
      <c r="E41" s="118">
        <f>-E38</f>
        <v>-45643199.57</v>
      </c>
      <c r="F41" s="247">
        <f>E41+'Saldos - 06-2025'!F40</f>
        <v>-569575750.36000001</v>
      </c>
      <c r="I41" s="94"/>
    </row>
    <row r="42" spans="2:9" x14ac:dyDescent="0.25">
      <c r="B42" s="367" t="s">
        <v>920</v>
      </c>
      <c r="C42" s="368"/>
      <c r="D42" s="368"/>
      <c r="E42" s="109">
        <f>-E23</f>
        <v>-103.93</v>
      </c>
      <c r="F42" s="246">
        <f>E42+'Saldos - 06-2025'!F41</f>
        <v>-526.90000000000009</v>
      </c>
    </row>
    <row r="43" spans="2:9" x14ac:dyDescent="0.25">
      <c r="B43" s="380" t="s">
        <v>453</v>
      </c>
      <c r="C43" s="381"/>
      <c r="D43" s="382"/>
      <c r="E43" s="134">
        <f>-E37</f>
        <v>-28.8</v>
      </c>
      <c r="F43" s="245">
        <f>E43+'Saldos - 06-2025'!F42</f>
        <v>-7554.71</v>
      </c>
      <c r="H43" s="178"/>
    </row>
    <row r="44" spans="2:9" x14ac:dyDescent="0.25">
      <c r="B44" s="383" t="s">
        <v>423</v>
      </c>
      <c r="C44" s="384"/>
      <c r="D44" s="384"/>
      <c r="E44" s="116"/>
      <c r="F44" s="246">
        <f>E44+'Saldos - 06-2025'!F43</f>
        <v>-69976153.25999999</v>
      </c>
      <c r="H44" s="123"/>
    </row>
    <row r="45" spans="2:9" x14ac:dyDescent="0.25">
      <c r="B45" s="383" t="s">
        <v>455</v>
      </c>
      <c r="C45" s="384"/>
      <c r="D45" s="384"/>
      <c r="E45" s="116"/>
      <c r="F45" s="246">
        <f>E45+'Saldos - 06-2025'!F44</f>
        <v>-164645.69</v>
      </c>
      <c r="H45" s="178"/>
      <c r="I45" s="123"/>
    </row>
    <row r="46" spans="2:9" x14ac:dyDescent="0.25">
      <c r="B46" s="383" t="s">
        <v>458</v>
      </c>
      <c r="C46" s="384"/>
      <c r="D46" s="384"/>
      <c r="E46" s="116">
        <v>-10029.56</v>
      </c>
      <c r="F46" s="246">
        <f>E46+'Saldos - 06-2025'!F45</f>
        <v>-40474.149999999994</v>
      </c>
      <c r="H46" s="178"/>
    </row>
    <row r="47" spans="2:9" ht="15.75" customHeight="1" x14ac:dyDescent="0.25">
      <c r="B47" s="367" t="s">
        <v>456</v>
      </c>
      <c r="C47" s="368"/>
      <c r="D47" s="368"/>
      <c r="E47" s="116">
        <f>14537.4600000009+1748.41999999806</f>
        <v>16285.879999998959</v>
      </c>
      <c r="F47" s="246">
        <f>E47+'Saldos - 06-2025'!F46</f>
        <v>70071551.090000004</v>
      </c>
      <c r="H47" s="123"/>
    </row>
    <row r="48" spans="2:9" ht="15.75" customHeight="1" x14ac:dyDescent="0.25">
      <c r="B48" s="367" t="s">
        <v>921</v>
      </c>
      <c r="C48" s="368"/>
      <c r="D48" s="368"/>
      <c r="E48" s="116"/>
      <c r="F48" s="246">
        <f>E48+'Saldos - 06-2025'!F47</f>
        <v>-667.56</v>
      </c>
    </row>
    <row r="49" spans="2:8" ht="15.75" customHeight="1" x14ac:dyDescent="0.25">
      <c r="B49" s="367" t="s">
        <v>922</v>
      </c>
      <c r="C49" s="368"/>
      <c r="D49" s="368"/>
      <c r="E49" s="116"/>
      <c r="F49" s="246">
        <f>E49+'Saldos - 06-2025'!F48</f>
        <v>667.56</v>
      </c>
      <c r="H49" s="123"/>
    </row>
    <row r="50" spans="2:8" x14ac:dyDescent="0.25">
      <c r="B50" s="367" t="s">
        <v>923</v>
      </c>
      <c r="C50" s="368"/>
      <c r="D50" s="368"/>
      <c r="E50" s="116"/>
      <c r="F50" s="246">
        <f>E50+'Saldos - 06-2025'!F49</f>
        <v>333.78</v>
      </c>
      <c r="H50" s="123"/>
    </row>
    <row r="51" spans="2:8" ht="15.75" thickBot="1" x14ac:dyDescent="0.3">
      <c r="B51" s="369" t="s">
        <v>424</v>
      </c>
      <c r="C51" s="369"/>
      <c r="D51" s="370"/>
      <c r="E51" s="145">
        <f>SUM(E39:E50)</f>
        <v>98890426.909999982</v>
      </c>
      <c r="F51" s="146">
        <f>SUM(F39:F50)</f>
        <v>564141357.71000004</v>
      </c>
      <c r="H51" s="123"/>
    </row>
    <row r="52" spans="2:8" x14ac:dyDescent="0.25">
      <c r="B52" s="124"/>
      <c r="D52" s="125"/>
      <c r="E52" s="147"/>
      <c r="F52" s="123"/>
      <c r="H52" s="123"/>
    </row>
    <row r="53" spans="2:8" x14ac:dyDescent="0.25">
      <c r="B53" s="371" t="s">
        <v>425</v>
      </c>
      <c r="C53" s="372"/>
      <c r="D53" s="373"/>
      <c r="E53" s="148"/>
      <c r="F53" s="123"/>
    </row>
    <row r="54" spans="2:8" x14ac:dyDescent="0.25">
      <c r="B54" s="364" t="s">
        <v>426</v>
      </c>
      <c r="C54" s="365"/>
      <c r="D54" s="366"/>
      <c r="E54" s="149">
        <v>132688855.83</v>
      </c>
      <c r="F54" s="123"/>
    </row>
    <row r="55" spans="2:8" x14ac:dyDescent="0.25">
      <c r="B55" s="364" t="s">
        <v>427</v>
      </c>
      <c r="C55" s="365"/>
      <c r="D55" s="366"/>
      <c r="E55" s="150">
        <v>45643199.57</v>
      </c>
    </row>
    <row r="56" spans="2:8" x14ac:dyDescent="0.25">
      <c r="B56" s="364" t="s">
        <v>428</v>
      </c>
      <c r="C56" s="365"/>
      <c r="D56" s="366"/>
      <c r="E56" s="149">
        <v>75048204.890000001</v>
      </c>
    </row>
    <row r="57" spans="2:8" x14ac:dyDescent="0.25">
      <c r="B57" s="364" t="s">
        <v>429</v>
      </c>
      <c r="C57" s="365"/>
      <c r="D57" s="366"/>
      <c r="E57" s="149">
        <v>1077343.8700000001</v>
      </c>
      <c r="F57" s="94"/>
    </row>
    <row r="58" spans="2:8" x14ac:dyDescent="0.25">
      <c r="B58" s="364" t="s">
        <v>430</v>
      </c>
      <c r="C58" s="365"/>
      <c r="D58" s="366"/>
      <c r="E58" s="151">
        <f>E54+E55-E56+E57</f>
        <v>104361194.38000001</v>
      </c>
      <c r="F58" s="123"/>
    </row>
    <row r="59" spans="2:8" x14ac:dyDescent="0.25">
      <c r="B59" s="152"/>
      <c r="C59" s="93"/>
      <c r="D59" s="93"/>
      <c r="E59" s="153"/>
    </row>
  </sheetData>
  <mergeCells count="53">
    <mergeCell ref="B55:D55"/>
    <mergeCell ref="B56:D56"/>
    <mergeCell ref="B57:D57"/>
    <mergeCell ref="B58:D58"/>
    <mergeCell ref="B31:D31"/>
    <mergeCell ref="B48:D48"/>
    <mergeCell ref="B49:D49"/>
    <mergeCell ref="B50:D50"/>
    <mergeCell ref="B51:D51"/>
    <mergeCell ref="B53:D53"/>
    <mergeCell ref="B54:D54"/>
    <mergeCell ref="B42:D42"/>
    <mergeCell ref="B43:D43"/>
    <mergeCell ref="B44:D44"/>
    <mergeCell ref="B45:D45"/>
    <mergeCell ref="B46:D46"/>
    <mergeCell ref="B47:D47"/>
    <mergeCell ref="B36:D36"/>
    <mergeCell ref="B37:D37"/>
    <mergeCell ref="B38:D38"/>
    <mergeCell ref="B39:D39"/>
    <mergeCell ref="B40:D40"/>
    <mergeCell ref="B41:D41"/>
    <mergeCell ref="B35:D35"/>
    <mergeCell ref="B23:D23"/>
    <mergeCell ref="B24:D24"/>
    <mergeCell ref="B25:D25"/>
    <mergeCell ref="B26:D26"/>
    <mergeCell ref="B27:D27"/>
    <mergeCell ref="B28:D28"/>
    <mergeCell ref="B29:D29"/>
    <mergeCell ref="B30:D30"/>
    <mergeCell ref="B32:D32"/>
    <mergeCell ref="B33:D33"/>
    <mergeCell ref="B34:D34"/>
    <mergeCell ref="B22:D22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1:D21"/>
    <mergeCell ref="B9:D9"/>
    <mergeCell ref="B2:F2"/>
    <mergeCell ref="B5:D5"/>
    <mergeCell ref="B6:D6"/>
    <mergeCell ref="B7:D7"/>
    <mergeCell ref="B8:D8"/>
  </mergeCells>
  <pageMargins left="0.511811024" right="0.511811024" top="0.78740157499999996" bottom="0.78740157499999996" header="0.31496062000000002" footer="0.31496062000000002"/>
  <pageSetup paperSize="9" orientation="landscape" r:id="rId1"/>
  <ignoredErrors>
    <ignoredError sqref="F31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F5F-FBAD-4CCC-BC76-409F94D4E3E6}">
  <dimension ref="A2:G75"/>
  <sheetViews>
    <sheetView topLeftCell="A25" workbookViewId="0">
      <selection activeCell="C40" sqref="C40"/>
    </sheetView>
  </sheetViews>
  <sheetFormatPr defaultRowHeight="15" x14ac:dyDescent="0.25"/>
  <cols>
    <col min="1" max="1" width="11" customWidth="1"/>
    <col min="2" max="2" width="26.85546875" bestFit="1" customWidth="1"/>
    <col min="3" max="3" width="16.140625" customWidth="1"/>
    <col min="4" max="4" width="4.140625" style="2" customWidth="1"/>
    <col min="5" max="5" width="34.85546875" customWidth="1"/>
    <col min="6" max="6" width="14.7109375" style="2" bestFit="1" customWidth="1"/>
  </cols>
  <sheetData>
    <row r="2" spans="1:7" x14ac:dyDescent="0.25">
      <c r="A2" s="184"/>
      <c r="B2" s="184"/>
      <c r="C2" s="329">
        <f>SUBTOTAL(9,C4:C75)</f>
        <v>289137537.9000001</v>
      </c>
      <c r="D2" s="21"/>
      <c r="E2" s="184"/>
    </row>
    <row r="3" spans="1:7" x14ac:dyDescent="0.25">
      <c r="A3" s="272" t="s">
        <v>2</v>
      </c>
      <c r="B3" s="272" t="s">
        <v>3</v>
      </c>
      <c r="C3" s="272" t="s">
        <v>4</v>
      </c>
      <c r="D3" s="273" t="s">
        <v>5</v>
      </c>
      <c r="E3" s="272" t="s">
        <v>889</v>
      </c>
      <c r="F3" s="185" t="s">
        <v>517</v>
      </c>
    </row>
    <row r="4" spans="1:7" x14ac:dyDescent="0.25">
      <c r="A4" s="6" t="s">
        <v>938</v>
      </c>
      <c r="B4" s="6" t="s">
        <v>12</v>
      </c>
      <c r="C4" s="7">
        <v>3335.05</v>
      </c>
      <c r="D4" s="5" t="s">
        <v>7</v>
      </c>
      <c r="E4" s="6" t="s">
        <v>42</v>
      </c>
      <c r="F4" s="5"/>
    </row>
    <row r="5" spans="1:7" x14ac:dyDescent="0.25">
      <c r="A5" s="6" t="s">
        <v>938</v>
      </c>
      <c r="B5" s="6" t="s">
        <v>10</v>
      </c>
      <c r="C5" s="7">
        <v>1638799.22</v>
      </c>
      <c r="D5" s="5" t="s">
        <v>7</v>
      </c>
      <c r="E5" s="6" t="s">
        <v>42</v>
      </c>
      <c r="F5" s="6"/>
    </row>
    <row r="6" spans="1:7" x14ac:dyDescent="0.25">
      <c r="A6" s="16" t="s">
        <v>938</v>
      </c>
      <c r="B6" s="16" t="s">
        <v>17</v>
      </c>
      <c r="C6" s="17">
        <v>1642134.27</v>
      </c>
      <c r="D6" s="15" t="s">
        <v>16</v>
      </c>
      <c r="E6" s="16" t="s">
        <v>44</v>
      </c>
      <c r="F6" s="16"/>
    </row>
    <row r="7" spans="1:7" x14ac:dyDescent="0.25">
      <c r="A7" s="6" t="s">
        <v>939</v>
      </c>
      <c r="B7" s="6" t="s">
        <v>12</v>
      </c>
      <c r="C7" s="7">
        <v>215.7</v>
      </c>
      <c r="D7" s="5" t="s">
        <v>7</v>
      </c>
      <c r="E7" s="6" t="s">
        <v>42</v>
      </c>
      <c r="F7" s="6"/>
    </row>
    <row r="8" spans="1:7" x14ac:dyDescent="0.25">
      <c r="A8" s="6" t="s">
        <v>939</v>
      </c>
      <c r="B8" s="6" t="s">
        <v>10</v>
      </c>
      <c r="C8" s="7">
        <v>105994.94</v>
      </c>
      <c r="D8" s="5" t="s">
        <v>7</v>
      </c>
      <c r="E8" s="6" t="s">
        <v>42</v>
      </c>
      <c r="F8" s="6"/>
    </row>
    <row r="9" spans="1:7" x14ac:dyDescent="0.25">
      <c r="A9" s="9" t="s">
        <v>939</v>
      </c>
      <c r="B9" s="9" t="s">
        <v>50</v>
      </c>
      <c r="C9" s="10">
        <v>333.78</v>
      </c>
      <c r="D9" s="8" t="s">
        <v>16</v>
      </c>
      <c r="E9" s="9" t="s">
        <v>1193</v>
      </c>
      <c r="F9" s="8"/>
    </row>
    <row r="10" spans="1:7" x14ac:dyDescent="0.25">
      <c r="A10" s="16" t="s">
        <v>939</v>
      </c>
      <c r="B10" s="16" t="s">
        <v>17</v>
      </c>
      <c r="C10" s="17">
        <v>105876.86</v>
      </c>
      <c r="D10" s="15" t="s">
        <v>16</v>
      </c>
      <c r="E10" s="16" t="s">
        <v>44</v>
      </c>
      <c r="F10" s="16"/>
    </row>
    <row r="11" spans="1:7" x14ac:dyDescent="0.25">
      <c r="A11" s="6" t="s">
        <v>940</v>
      </c>
      <c r="B11" s="6" t="s">
        <v>30</v>
      </c>
      <c r="C11" s="7">
        <v>2282.7199999999998</v>
      </c>
      <c r="D11" s="5" t="s">
        <v>7</v>
      </c>
      <c r="E11" s="6" t="s">
        <v>42</v>
      </c>
      <c r="F11" s="6"/>
    </row>
    <row r="12" spans="1:7" x14ac:dyDescent="0.25">
      <c r="A12" s="6" t="s">
        <v>940</v>
      </c>
      <c r="B12" s="6" t="s">
        <v>10</v>
      </c>
      <c r="C12" s="7">
        <v>214738.78</v>
      </c>
      <c r="D12" s="5" t="s">
        <v>7</v>
      </c>
      <c r="E12" s="6" t="s">
        <v>42</v>
      </c>
      <c r="F12" s="6"/>
    </row>
    <row r="13" spans="1:7" x14ac:dyDescent="0.25">
      <c r="A13" s="6" t="s">
        <v>940</v>
      </c>
      <c r="B13" s="6" t="s">
        <v>12</v>
      </c>
      <c r="C13" s="7">
        <v>1034890.93</v>
      </c>
      <c r="D13" s="5" t="s">
        <v>7</v>
      </c>
      <c r="E13" s="6" t="s">
        <v>42</v>
      </c>
      <c r="F13" s="6"/>
    </row>
    <row r="14" spans="1:7" x14ac:dyDescent="0.25">
      <c r="A14" s="16" t="s">
        <v>940</v>
      </c>
      <c r="B14" s="16" t="s">
        <v>17</v>
      </c>
      <c r="C14" s="17">
        <v>1251912.43</v>
      </c>
      <c r="D14" s="15" t="s">
        <v>16</v>
      </c>
      <c r="E14" s="16" t="s">
        <v>44</v>
      </c>
      <c r="F14" s="16"/>
    </row>
    <row r="15" spans="1:7" x14ac:dyDescent="0.25">
      <c r="A15" s="179" t="s">
        <v>941</v>
      </c>
      <c r="B15" s="179" t="s">
        <v>49</v>
      </c>
      <c r="C15" s="181">
        <v>103.93</v>
      </c>
      <c r="D15" s="180" t="s">
        <v>7</v>
      </c>
      <c r="E15" s="179" t="s">
        <v>1061</v>
      </c>
      <c r="F15" s="180" t="s">
        <v>958</v>
      </c>
    </row>
    <row r="16" spans="1:7" x14ac:dyDescent="0.25">
      <c r="A16" s="9" t="s">
        <v>941</v>
      </c>
      <c r="B16" s="9" t="s">
        <v>50</v>
      </c>
      <c r="C16" s="10">
        <v>38093641.520000003</v>
      </c>
      <c r="D16" s="8" t="s">
        <v>16</v>
      </c>
      <c r="E16" s="9" t="s">
        <v>66</v>
      </c>
      <c r="F16" s="8" t="s">
        <v>959</v>
      </c>
      <c r="G16" s="14"/>
    </row>
    <row r="17" spans="1:6" x14ac:dyDescent="0.25">
      <c r="A17" s="9" t="s">
        <v>941</v>
      </c>
      <c r="B17" s="9" t="s">
        <v>50</v>
      </c>
      <c r="C17" s="10">
        <v>5702522.3099999996</v>
      </c>
      <c r="D17" s="8" t="s">
        <v>16</v>
      </c>
      <c r="E17" s="9" t="s">
        <v>66</v>
      </c>
      <c r="F17" s="8" t="s">
        <v>985</v>
      </c>
    </row>
    <row r="18" spans="1:6" x14ac:dyDescent="0.25">
      <c r="A18" s="16" t="s">
        <v>941</v>
      </c>
      <c r="B18" s="16" t="s">
        <v>20</v>
      </c>
      <c r="C18" s="17">
        <v>43796059.899999999</v>
      </c>
      <c r="D18" s="15" t="s">
        <v>7</v>
      </c>
      <c r="E18" s="16" t="s">
        <v>1059</v>
      </c>
      <c r="F18" s="16"/>
    </row>
    <row r="19" spans="1:6" x14ac:dyDescent="0.25">
      <c r="A19" s="9" t="s">
        <v>942</v>
      </c>
      <c r="B19" s="9" t="s">
        <v>22</v>
      </c>
      <c r="C19" s="10">
        <v>18071060.59</v>
      </c>
      <c r="D19" s="8" t="s">
        <v>16</v>
      </c>
      <c r="E19" s="9" t="s">
        <v>241</v>
      </c>
      <c r="F19" s="8"/>
    </row>
    <row r="20" spans="1:6" x14ac:dyDescent="0.25">
      <c r="A20" s="9" t="s">
        <v>942</v>
      </c>
      <c r="B20" s="9" t="s">
        <v>22</v>
      </c>
      <c r="C20" s="10">
        <v>190519.35</v>
      </c>
      <c r="D20" s="8" t="s">
        <v>16</v>
      </c>
      <c r="E20" s="9" t="s">
        <v>241</v>
      </c>
      <c r="F20" s="8"/>
    </row>
    <row r="21" spans="1:6" x14ac:dyDescent="0.25">
      <c r="A21" s="9" t="s">
        <v>942</v>
      </c>
      <c r="B21" s="9" t="s">
        <v>50</v>
      </c>
      <c r="C21" s="10">
        <v>97539.73</v>
      </c>
      <c r="D21" s="8" t="s">
        <v>16</v>
      </c>
      <c r="E21" s="9" t="s">
        <v>241</v>
      </c>
      <c r="F21" s="8"/>
    </row>
    <row r="22" spans="1:6" x14ac:dyDescent="0.25">
      <c r="A22" s="16" t="s">
        <v>942</v>
      </c>
      <c r="B22" s="16" t="s">
        <v>20</v>
      </c>
      <c r="C22" s="17">
        <v>18359119.670000002</v>
      </c>
      <c r="D22" s="15" t="s">
        <v>7</v>
      </c>
      <c r="E22" s="16" t="s">
        <v>1059</v>
      </c>
      <c r="F22" s="16"/>
    </row>
    <row r="23" spans="1:6" x14ac:dyDescent="0.25">
      <c r="A23" s="6" t="s">
        <v>943</v>
      </c>
      <c r="B23" s="6" t="s">
        <v>30</v>
      </c>
      <c r="C23" s="7">
        <v>747.24</v>
      </c>
      <c r="D23" s="5" t="s">
        <v>7</v>
      </c>
      <c r="E23" s="6" t="s">
        <v>42</v>
      </c>
      <c r="F23" s="6"/>
    </row>
    <row r="24" spans="1:6" x14ac:dyDescent="0.25">
      <c r="A24" s="6" t="s">
        <v>943</v>
      </c>
      <c r="B24" s="6" t="s">
        <v>12</v>
      </c>
      <c r="C24" s="7">
        <v>457261.51</v>
      </c>
      <c r="D24" s="5" t="s">
        <v>7</v>
      </c>
      <c r="E24" s="6" t="s">
        <v>42</v>
      </c>
      <c r="F24" s="6"/>
    </row>
    <row r="25" spans="1:6" x14ac:dyDescent="0.25">
      <c r="A25" s="6" t="s">
        <v>943</v>
      </c>
      <c r="B25" s="6" t="s">
        <v>30</v>
      </c>
      <c r="C25" s="7">
        <v>896.01</v>
      </c>
      <c r="D25" s="5" t="s">
        <v>7</v>
      </c>
      <c r="E25" s="6" t="s">
        <v>42</v>
      </c>
      <c r="F25" s="6"/>
    </row>
    <row r="26" spans="1:6" x14ac:dyDescent="0.25">
      <c r="A26" s="6" t="s">
        <v>943</v>
      </c>
      <c r="B26" s="6" t="s">
        <v>10</v>
      </c>
      <c r="C26" s="7">
        <v>88582.81</v>
      </c>
      <c r="D26" s="5" t="s">
        <v>7</v>
      </c>
      <c r="E26" s="6" t="s">
        <v>42</v>
      </c>
      <c r="F26" s="6"/>
    </row>
    <row r="27" spans="1:6" x14ac:dyDescent="0.25">
      <c r="A27" s="6" t="s">
        <v>943</v>
      </c>
      <c r="B27" s="6" t="s">
        <v>10</v>
      </c>
      <c r="C27" s="7">
        <v>246309.68</v>
      </c>
      <c r="D27" s="5" t="s">
        <v>7</v>
      </c>
      <c r="E27" s="6" t="s">
        <v>42</v>
      </c>
      <c r="F27" s="6"/>
    </row>
    <row r="28" spans="1:6" x14ac:dyDescent="0.25">
      <c r="A28" s="6" t="s">
        <v>943</v>
      </c>
      <c r="B28" s="6" t="s">
        <v>11</v>
      </c>
      <c r="C28" s="7">
        <v>186.91</v>
      </c>
      <c r="D28" s="5" t="s">
        <v>7</v>
      </c>
      <c r="E28" s="6" t="s">
        <v>42</v>
      </c>
      <c r="F28" s="6"/>
    </row>
    <row r="29" spans="1:6" x14ac:dyDescent="0.25">
      <c r="A29" s="6" t="s">
        <v>943</v>
      </c>
      <c r="B29" s="6" t="s">
        <v>12</v>
      </c>
      <c r="C29" s="7">
        <v>269604.92</v>
      </c>
      <c r="D29" s="5" t="s">
        <v>7</v>
      </c>
      <c r="E29" s="6" t="s">
        <v>42</v>
      </c>
      <c r="F29" s="6"/>
    </row>
    <row r="30" spans="1:6" x14ac:dyDescent="0.25">
      <c r="A30" s="11" t="s">
        <v>943</v>
      </c>
      <c r="B30" s="11" t="s">
        <v>14</v>
      </c>
      <c r="C30" s="13">
        <v>24037.360000000001</v>
      </c>
      <c r="D30" s="12" t="s">
        <v>7</v>
      </c>
      <c r="E30" s="11" t="s">
        <v>1060</v>
      </c>
      <c r="F30" s="11"/>
    </row>
    <row r="31" spans="1:6" x14ac:dyDescent="0.25">
      <c r="A31" s="6" t="s">
        <v>943</v>
      </c>
      <c r="B31" s="6" t="s">
        <v>14</v>
      </c>
      <c r="C31" s="7">
        <v>13945.29</v>
      </c>
      <c r="D31" s="5" t="s">
        <v>7</v>
      </c>
      <c r="E31" s="6" t="s">
        <v>42</v>
      </c>
      <c r="F31" s="6"/>
    </row>
    <row r="32" spans="1:6" x14ac:dyDescent="0.25">
      <c r="A32" s="6" t="s">
        <v>943</v>
      </c>
      <c r="B32" s="6" t="s">
        <v>13</v>
      </c>
      <c r="C32" s="7">
        <v>556113.91</v>
      </c>
      <c r="D32" s="5" t="s">
        <v>7</v>
      </c>
      <c r="E32" s="6" t="s">
        <v>42</v>
      </c>
      <c r="F32" s="6"/>
    </row>
    <row r="33" spans="1:6" x14ac:dyDescent="0.25">
      <c r="A33" s="6" t="s">
        <v>943</v>
      </c>
      <c r="B33" s="6" t="s">
        <v>13</v>
      </c>
      <c r="C33" s="7">
        <v>1292801.3700000001</v>
      </c>
      <c r="D33" s="5" t="s">
        <v>7</v>
      </c>
      <c r="E33" s="6" t="s">
        <v>42</v>
      </c>
      <c r="F33" s="6"/>
    </row>
    <row r="34" spans="1:6" x14ac:dyDescent="0.25">
      <c r="A34" s="6" t="s">
        <v>943</v>
      </c>
      <c r="B34" s="6" t="s">
        <v>13</v>
      </c>
      <c r="C34" s="7">
        <v>15253002.77</v>
      </c>
      <c r="D34" s="5" t="s">
        <v>7</v>
      </c>
      <c r="E34" s="6" t="s">
        <v>42</v>
      </c>
      <c r="F34" s="6"/>
    </row>
    <row r="35" spans="1:6" x14ac:dyDescent="0.25">
      <c r="A35" s="6" t="s">
        <v>943</v>
      </c>
      <c r="B35" s="6" t="s">
        <v>13</v>
      </c>
      <c r="C35" s="7">
        <v>6542.45</v>
      </c>
      <c r="D35" s="5" t="s">
        <v>7</v>
      </c>
      <c r="E35" s="6" t="s">
        <v>42</v>
      </c>
      <c r="F35" s="6"/>
    </row>
    <row r="36" spans="1:6" x14ac:dyDescent="0.25">
      <c r="A36" s="11" t="s">
        <v>943</v>
      </c>
      <c r="B36" s="11" t="s">
        <v>15</v>
      </c>
      <c r="C36" s="13">
        <v>24037.360000000001</v>
      </c>
      <c r="D36" s="12" t="s">
        <v>16</v>
      </c>
      <c r="E36" s="11" t="s">
        <v>1060</v>
      </c>
      <c r="F36" s="11"/>
    </row>
    <row r="37" spans="1:6" x14ac:dyDescent="0.25">
      <c r="A37" s="16" t="s">
        <v>943</v>
      </c>
      <c r="B37" s="16" t="s">
        <v>17</v>
      </c>
      <c r="C37" s="17">
        <v>18185994.870000001</v>
      </c>
      <c r="D37" s="15" t="s">
        <v>16</v>
      </c>
      <c r="E37" s="16" t="s">
        <v>44</v>
      </c>
      <c r="F37" s="16"/>
    </row>
    <row r="38" spans="1:6" x14ac:dyDescent="0.25">
      <c r="A38" s="9" t="s">
        <v>944</v>
      </c>
      <c r="B38" s="9" t="s">
        <v>50</v>
      </c>
      <c r="C38" s="10">
        <v>872518.09</v>
      </c>
      <c r="D38" s="8" t="s">
        <v>16</v>
      </c>
      <c r="E38" s="9" t="s">
        <v>66</v>
      </c>
      <c r="F38" s="8" t="s">
        <v>1003</v>
      </c>
    </row>
    <row r="39" spans="1:6" x14ac:dyDescent="0.25">
      <c r="A39" s="16" t="s">
        <v>944</v>
      </c>
      <c r="B39" s="16" t="s">
        <v>20</v>
      </c>
      <c r="C39" s="17">
        <v>872518.09</v>
      </c>
      <c r="D39" s="15" t="s">
        <v>7</v>
      </c>
      <c r="E39" s="16" t="s">
        <v>1059</v>
      </c>
      <c r="F39" s="16"/>
    </row>
    <row r="40" spans="1:6" x14ac:dyDescent="0.25">
      <c r="A40" t="s">
        <v>945</v>
      </c>
      <c r="B40" t="s">
        <v>37</v>
      </c>
      <c r="C40" s="1">
        <v>10029.56</v>
      </c>
      <c r="D40" s="2" t="s">
        <v>16</v>
      </c>
      <c r="E40" t="s">
        <v>8</v>
      </c>
    </row>
    <row r="41" spans="1:6" x14ac:dyDescent="0.25">
      <c r="A41" s="16" t="s">
        <v>945</v>
      </c>
      <c r="B41" s="16" t="s">
        <v>20</v>
      </c>
      <c r="C41" s="17">
        <v>10029.56</v>
      </c>
      <c r="D41" s="15" t="s">
        <v>7</v>
      </c>
      <c r="E41" s="16" t="s">
        <v>1059</v>
      </c>
      <c r="F41" s="16"/>
    </row>
    <row r="42" spans="1:6" x14ac:dyDescent="0.25">
      <c r="A42" s="6" t="s">
        <v>946</v>
      </c>
      <c r="B42" s="6" t="s">
        <v>11</v>
      </c>
      <c r="C42" s="7">
        <v>193.64</v>
      </c>
      <c r="D42" s="5" t="s">
        <v>7</v>
      </c>
      <c r="E42" s="6" t="s">
        <v>42</v>
      </c>
      <c r="F42" s="6"/>
    </row>
    <row r="43" spans="1:6" x14ac:dyDescent="0.25">
      <c r="A43" s="6" t="s">
        <v>946</v>
      </c>
      <c r="B43" s="6" t="s">
        <v>13</v>
      </c>
      <c r="C43" s="7">
        <v>410601.9</v>
      </c>
      <c r="D43" s="5" t="s">
        <v>7</v>
      </c>
      <c r="E43" s="6" t="s">
        <v>42</v>
      </c>
      <c r="F43" s="6"/>
    </row>
    <row r="44" spans="1:6" x14ac:dyDescent="0.25">
      <c r="A44" s="6" t="s">
        <v>946</v>
      </c>
      <c r="B44" s="6" t="s">
        <v>13</v>
      </c>
      <c r="C44" s="7">
        <v>954528.74</v>
      </c>
      <c r="D44" s="5" t="s">
        <v>7</v>
      </c>
      <c r="E44" s="6" t="s">
        <v>42</v>
      </c>
      <c r="F44" s="6"/>
    </row>
    <row r="45" spans="1:6" x14ac:dyDescent="0.25">
      <c r="A45" s="6" t="s">
        <v>946</v>
      </c>
      <c r="B45" s="6" t="s">
        <v>13</v>
      </c>
      <c r="C45" s="7">
        <v>10506370.65</v>
      </c>
      <c r="D45" s="5" t="s">
        <v>7</v>
      </c>
      <c r="E45" s="6" t="s">
        <v>42</v>
      </c>
      <c r="F45" s="6"/>
    </row>
    <row r="46" spans="1:6" x14ac:dyDescent="0.25">
      <c r="A46" s="6" t="s">
        <v>946</v>
      </c>
      <c r="B46" s="6" t="s">
        <v>13</v>
      </c>
      <c r="C46" s="7">
        <v>4830.6099999999997</v>
      </c>
      <c r="D46" s="5" t="s">
        <v>7</v>
      </c>
      <c r="E46" s="6" t="s">
        <v>42</v>
      </c>
      <c r="F46" s="6"/>
    </row>
    <row r="47" spans="1:6" x14ac:dyDescent="0.25">
      <c r="A47" s="11" t="s">
        <v>946</v>
      </c>
      <c r="B47" s="11" t="s">
        <v>14</v>
      </c>
      <c r="C47" s="13">
        <v>13606.01</v>
      </c>
      <c r="D47" s="12" t="s">
        <v>7</v>
      </c>
      <c r="E47" s="11" t="s">
        <v>1060</v>
      </c>
      <c r="F47" s="11"/>
    </row>
    <row r="48" spans="1:6" x14ac:dyDescent="0.25">
      <c r="A48" s="6" t="s">
        <v>946</v>
      </c>
      <c r="B48" s="6" t="s">
        <v>14</v>
      </c>
      <c r="C48" s="7">
        <v>7893.54</v>
      </c>
      <c r="D48" s="5" t="s">
        <v>7</v>
      </c>
      <c r="E48" s="6" t="s">
        <v>42</v>
      </c>
      <c r="F48" s="6"/>
    </row>
    <row r="49" spans="1:6" x14ac:dyDescent="0.25">
      <c r="A49" s="11" t="s">
        <v>946</v>
      </c>
      <c r="B49" s="11" t="s">
        <v>15</v>
      </c>
      <c r="C49" s="13">
        <v>13606.01</v>
      </c>
      <c r="D49" s="12" t="s">
        <v>16</v>
      </c>
      <c r="E49" s="11" t="s">
        <v>1060</v>
      </c>
      <c r="F49" s="11"/>
    </row>
    <row r="50" spans="1:6" x14ac:dyDescent="0.25">
      <c r="A50" s="19" t="s">
        <v>946</v>
      </c>
      <c r="B50" s="19" t="s">
        <v>24</v>
      </c>
      <c r="C50" s="20">
        <v>10.02</v>
      </c>
      <c r="D50" s="18" t="s">
        <v>16</v>
      </c>
      <c r="E50" s="19" t="s">
        <v>45</v>
      </c>
      <c r="F50" s="19"/>
    </row>
    <row r="51" spans="1:6" x14ac:dyDescent="0.25">
      <c r="A51" s="16" t="s">
        <v>946</v>
      </c>
      <c r="B51" s="16" t="s">
        <v>17</v>
      </c>
      <c r="C51" s="17">
        <v>11884409.060000001</v>
      </c>
      <c r="D51" s="15" t="s">
        <v>16</v>
      </c>
      <c r="E51" s="16" t="s">
        <v>44</v>
      </c>
      <c r="F51" s="16"/>
    </row>
    <row r="52" spans="1:6" x14ac:dyDescent="0.25">
      <c r="A52" s="6" t="s">
        <v>947</v>
      </c>
      <c r="B52" s="6" t="s">
        <v>30</v>
      </c>
      <c r="C52" s="7">
        <v>3647.15</v>
      </c>
      <c r="D52" s="5" t="s">
        <v>7</v>
      </c>
      <c r="E52" s="6" t="s">
        <v>42</v>
      </c>
      <c r="F52" s="6"/>
    </row>
    <row r="53" spans="1:6" x14ac:dyDescent="0.25">
      <c r="A53" s="6" t="s">
        <v>947</v>
      </c>
      <c r="B53" s="6" t="s">
        <v>10</v>
      </c>
      <c r="C53" s="7">
        <v>303476.32</v>
      </c>
      <c r="D53" s="5" t="s">
        <v>7</v>
      </c>
      <c r="E53" s="6" t="s">
        <v>42</v>
      </c>
      <c r="F53" s="6"/>
    </row>
    <row r="54" spans="1:6" x14ac:dyDescent="0.25">
      <c r="A54" s="6" t="s">
        <v>947</v>
      </c>
      <c r="B54" s="6" t="s">
        <v>12</v>
      </c>
      <c r="C54" s="7">
        <v>12265748.609999999</v>
      </c>
      <c r="D54" s="5" t="s">
        <v>7</v>
      </c>
      <c r="E54" s="6" t="s">
        <v>42</v>
      </c>
      <c r="F54" s="6"/>
    </row>
    <row r="55" spans="1:6" x14ac:dyDescent="0.25">
      <c r="A55" s="16" t="s">
        <v>947</v>
      </c>
      <c r="B55" s="16" t="s">
        <v>17</v>
      </c>
      <c r="C55" s="17">
        <v>12572872.08</v>
      </c>
      <c r="D55" s="15" t="s">
        <v>16</v>
      </c>
      <c r="E55" s="16" t="s">
        <v>44</v>
      </c>
      <c r="F55" s="16"/>
    </row>
    <row r="56" spans="1:6" x14ac:dyDescent="0.25">
      <c r="A56" s="9" t="s">
        <v>948</v>
      </c>
      <c r="B56" s="9" t="s">
        <v>50</v>
      </c>
      <c r="C56" s="10">
        <v>334765.03000000003</v>
      </c>
      <c r="D56" s="8" t="s">
        <v>16</v>
      </c>
      <c r="E56" s="9" t="s">
        <v>1062</v>
      </c>
      <c r="F56" s="8"/>
    </row>
    <row r="57" spans="1:6" x14ac:dyDescent="0.25">
      <c r="A57" s="16" t="s">
        <v>948</v>
      </c>
      <c r="B57" s="16" t="s">
        <v>20</v>
      </c>
      <c r="C57" s="17">
        <v>334765.03000000003</v>
      </c>
      <c r="D57" s="15" t="s">
        <v>7</v>
      </c>
      <c r="E57" s="16" t="s">
        <v>1059</v>
      </c>
      <c r="F57" s="16"/>
    </row>
    <row r="58" spans="1:6" x14ac:dyDescent="0.25">
      <c r="A58" s="6" t="s">
        <v>949</v>
      </c>
      <c r="B58" s="6" t="s">
        <v>11</v>
      </c>
      <c r="C58" s="7">
        <v>57.62</v>
      </c>
      <c r="D58" s="5" t="s">
        <v>7</v>
      </c>
      <c r="E58" s="6" t="s">
        <v>42</v>
      </c>
      <c r="F58" s="6"/>
    </row>
    <row r="59" spans="1:6" x14ac:dyDescent="0.25">
      <c r="A59" s="6" t="s">
        <v>949</v>
      </c>
      <c r="B59" s="6" t="s">
        <v>13</v>
      </c>
      <c r="C59" s="7">
        <v>806827.07</v>
      </c>
      <c r="D59" s="5" t="s">
        <v>7</v>
      </c>
      <c r="E59" s="6" t="s">
        <v>42</v>
      </c>
      <c r="F59" s="6"/>
    </row>
    <row r="60" spans="1:6" x14ac:dyDescent="0.25">
      <c r="A60" s="6" t="s">
        <v>949</v>
      </c>
      <c r="B60" s="6" t="s">
        <v>13</v>
      </c>
      <c r="C60" s="7">
        <v>1875635.54</v>
      </c>
      <c r="D60" s="5" t="s">
        <v>7</v>
      </c>
      <c r="E60" s="6" t="s">
        <v>42</v>
      </c>
      <c r="F60" s="6"/>
    </row>
    <row r="61" spans="1:6" x14ac:dyDescent="0.25">
      <c r="A61" s="6" t="s">
        <v>949</v>
      </c>
      <c r="B61" s="6" t="s">
        <v>13</v>
      </c>
      <c r="C61" s="7">
        <v>21141536.670000002</v>
      </c>
      <c r="D61" s="5" t="s">
        <v>7</v>
      </c>
      <c r="E61" s="6" t="s">
        <v>42</v>
      </c>
      <c r="F61" s="6"/>
    </row>
    <row r="62" spans="1:6" x14ac:dyDescent="0.25">
      <c r="A62" s="6" t="s">
        <v>949</v>
      </c>
      <c r="B62" s="6" t="s">
        <v>13</v>
      </c>
      <c r="C62" s="7">
        <v>9492.09</v>
      </c>
      <c r="D62" s="5" t="s">
        <v>7</v>
      </c>
      <c r="E62" s="6" t="s">
        <v>42</v>
      </c>
      <c r="F62" s="6"/>
    </row>
    <row r="63" spans="1:6" x14ac:dyDescent="0.25">
      <c r="A63" s="11" t="s">
        <v>949</v>
      </c>
      <c r="B63" s="11" t="s">
        <v>14</v>
      </c>
      <c r="C63" s="13">
        <v>3622.69</v>
      </c>
      <c r="D63" s="12" t="s">
        <v>7</v>
      </c>
      <c r="E63" s="11" t="s">
        <v>1060</v>
      </c>
      <c r="F63" s="11"/>
    </row>
    <row r="64" spans="1:6" x14ac:dyDescent="0.25">
      <c r="A64" s="6" t="s">
        <v>949</v>
      </c>
      <c r="B64" s="6" t="s">
        <v>14</v>
      </c>
      <c r="C64" s="7">
        <v>2101.71</v>
      </c>
      <c r="D64" s="5" t="s">
        <v>7</v>
      </c>
      <c r="E64" s="6" t="s">
        <v>42</v>
      </c>
      <c r="F64" s="6"/>
    </row>
    <row r="65" spans="1:6" x14ac:dyDescent="0.25">
      <c r="A65" s="11" t="s">
        <v>949</v>
      </c>
      <c r="B65" s="11" t="s">
        <v>15</v>
      </c>
      <c r="C65" s="13">
        <v>3622.69</v>
      </c>
      <c r="D65" s="12" t="s">
        <v>16</v>
      </c>
      <c r="E65" s="11" t="s">
        <v>1060</v>
      </c>
      <c r="F65" s="11"/>
    </row>
    <row r="66" spans="1:6" x14ac:dyDescent="0.25">
      <c r="A66" s="9" t="s">
        <v>949</v>
      </c>
      <c r="B66" s="9" t="s">
        <v>22</v>
      </c>
      <c r="C66" s="10">
        <v>34069004.909999996</v>
      </c>
      <c r="D66" s="8" t="s">
        <v>16</v>
      </c>
      <c r="E66" s="9" t="s">
        <v>1062</v>
      </c>
      <c r="F66" s="8"/>
    </row>
    <row r="67" spans="1:6" x14ac:dyDescent="0.25">
      <c r="A67" s="9" t="s">
        <v>949</v>
      </c>
      <c r="B67" s="9" t="s">
        <v>22</v>
      </c>
      <c r="C67" s="10">
        <v>562903.56999999995</v>
      </c>
      <c r="D67" s="8" t="s">
        <v>16</v>
      </c>
      <c r="E67" s="9" t="s">
        <v>1062</v>
      </c>
      <c r="F67" s="8"/>
    </row>
    <row r="68" spans="1:6" x14ac:dyDescent="0.25">
      <c r="A68" s="9" t="s">
        <v>949</v>
      </c>
      <c r="B68" s="9" t="s">
        <v>22</v>
      </c>
      <c r="C68" s="10">
        <v>262548.12</v>
      </c>
      <c r="D68" s="8" t="s">
        <v>16</v>
      </c>
      <c r="E68" s="9" t="s">
        <v>1062</v>
      </c>
      <c r="F68" s="8"/>
    </row>
    <row r="69" spans="1:6" x14ac:dyDescent="0.25">
      <c r="A69" s="9" t="s">
        <v>949</v>
      </c>
      <c r="B69" s="9" t="s">
        <v>22</v>
      </c>
      <c r="C69" s="10">
        <v>694.48</v>
      </c>
      <c r="D69" s="8" t="s">
        <v>16</v>
      </c>
      <c r="E69" s="9" t="s">
        <v>1062</v>
      </c>
      <c r="F69" s="8"/>
    </row>
    <row r="70" spans="1:6" x14ac:dyDescent="0.25">
      <c r="A70" s="9" t="s">
        <v>949</v>
      </c>
      <c r="B70" s="9" t="s">
        <v>22</v>
      </c>
      <c r="C70" s="10">
        <v>15374.74</v>
      </c>
      <c r="D70" s="8" t="s">
        <v>16</v>
      </c>
      <c r="E70" s="9" t="s">
        <v>1062</v>
      </c>
      <c r="F70" s="8"/>
    </row>
    <row r="71" spans="1:6" x14ac:dyDescent="0.25">
      <c r="A71" s="9" t="s">
        <v>949</v>
      </c>
      <c r="B71" s="9" t="s">
        <v>22</v>
      </c>
      <c r="C71" s="10">
        <v>585749.27</v>
      </c>
      <c r="D71" s="8" t="s">
        <v>16</v>
      </c>
      <c r="E71" s="9" t="s">
        <v>1062</v>
      </c>
      <c r="F71" s="8"/>
    </row>
    <row r="72" spans="1:6" x14ac:dyDescent="0.25">
      <c r="A72" s="9" t="s">
        <v>949</v>
      </c>
      <c r="B72" s="9" t="s">
        <v>37</v>
      </c>
      <c r="C72" s="10">
        <v>15069.47</v>
      </c>
      <c r="D72" s="8" t="s">
        <v>16</v>
      </c>
      <c r="E72" s="9" t="s">
        <v>1062</v>
      </c>
      <c r="F72" s="8"/>
    </row>
    <row r="73" spans="1:6" x14ac:dyDescent="0.25">
      <c r="A73" s="19" t="s">
        <v>949</v>
      </c>
      <c r="B73" s="19" t="s">
        <v>24</v>
      </c>
      <c r="C73" s="20">
        <v>15.06</v>
      </c>
      <c r="D73" s="18" t="s">
        <v>16</v>
      </c>
      <c r="E73" s="19" t="s">
        <v>45</v>
      </c>
      <c r="F73" s="19"/>
    </row>
    <row r="74" spans="1:6" x14ac:dyDescent="0.25">
      <c r="A74" s="19" t="s">
        <v>949</v>
      </c>
      <c r="B74" s="19" t="s">
        <v>24</v>
      </c>
      <c r="C74" s="20">
        <v>3.72</v>
      </c>
      <c r="D74" s="18" t="s">
        <v>16</v>
      </c>
      <c r="E74" s="19" t="s">
        <v>45</v>
      </c>
      <c r="F74" s="19"/>
    </row>
    <row r="75" spans="1:6" x14ac:dyDescent="0.25">
      <c r="A75" s="16" t="s">
        <v>949</v>
      </c>
      <c r="B75" s="16" t="s">
        <v>20</v>
      </c>
      <c r="C75" s="17">
        <v>11675712.640000001</v>
      </c>
      <c r="D75" s="15" t="s">
        <v>7</v>
      </c>
      <c r="E75" s="16" t="s">
        <v>1059</v>
      </c>
      <c r="F75" s="16"/>
    </row>
  </sheetData>
  <autoFilter ref="A3:F75" xr:uid="{687CEF5F-FBAD-4CCC-BC76-409F94D4E3E6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2151-75EA-42E5-804F-D627D954F100}">
  <dimension ref="A2:G60"/>
  <sheetViews>
    <sheetView zoomScale="85" zoomScaleNormal="85" workbookViewId="0">
      <selection activeCell="D3" sqref="D3"/>
    </sheetView>
  </sheetViews>
  <sheetFormatPr defaultRowHeight="15" x14ac:dyDescent="0.2"/>
  <cols>
    <col min="1" max="1" width="18" style="333" customWidth="1"/>
    <col min="2" max="2" width="17" style="333" customWidth="1"/>
    <col min="3" max="3" width="52.5703125" style="333" customWidth="1"/>
    <col min="4" max="4" width="22.28515625" style="333" customWidth="1"/>
    <col min="5" max="5" width="26.42578125" style="333" customWidth="1"/>
    <col min="6" max="6" width="19.7109375" style="344" customWidth="1"/>
    <col min="7" max="7" width="20.140625" style="333" customWidth="1"/>
    <col min="8" max="249" width="9.140625" style="333"/>
    <col min="250" max="251" width="11" style="333" bestFit="1" customWidth="1"/>
    <col min="252" max="252" width="34.140625" style="333" customWidth="1"/>
    <col min="253" max="253" width="13" style="333" bestFit="1" customWidth="1"/>
    <col min="254" max="254" width="14" style="333" bestFit="1" customWidth="1"/>
    <col min="255" max="256" width="13" style="333" bestFit="1" customWidth="1"/>
    <col min="257" max="257" width="14" style="333" bestFit="1" customWidth="1"/>
    <col min="258" max="259" width="13" style="333" bestFit="1" customWidth="1"/>
    <col min="260" max="260" width="16" style="333" customWidth="1"/>
    <col min="261" max="505" width="9.140625" style="333"/>
    <col min="506" max="507" width="11" style="333" bestFit="1" customWidth="1"/>
    <col min="508" max="508" width="34.140625" style="333" customWidth="1"/>
    <col min="509" max="509" width="13" style="333" bestFit="1" customWidth="1"/>
    <col min="510" max="510" width="14" style="333" bestFit="1" customWidth="1"/>
    <col min="511" max="512" width="13" style="333" bestFit="1" customWidth="1"/>
    <col min="513" max="513" width="14" style="333" bestFit="1" customWidth="1"/>
    <col min="514" max="515" width="13" style="333" bestFit="1" customWidth="1"/>
    <col min="516" max="516" width="16" style="333" customWidth="1"/>
    <col min="517" max="761" width="9.140625" style="333"/>
    <col min="762" max="763" width="11" style="333" bestFit="1" customWidth="1"/>
    <col min="764" max="764" width="34.140625" style="333" customWidth="1"/>
    <col min="765" max="765" width="13" style="333" bestFit="1" customWidth="1"/>
    <col min="766" max="766" width="14" style="333" bestFit="1" customWidth="1"/>
    <col min="767" max="768" width="13" style="333" bestFit="1" customWidth="1"/>
    <col min="769" max="769" width="14" style="333" bestFit="1" customWidth="1"/>
    <col min="770" max="771" width="13" style="333" bestFit="1" customWidth="1"/>
    <col min="772" max="772" width="16" style="333" customWidth="1"/>
    <col min="773" max="1017" width="9.140625" style="333"/>
    <col min="1018" max="1019" width="11" style="333" bestFit="1" customWidth="1"/>
    <col min="1020" max="1020" width="34.140625" style="333" customWidth="1"/>
    <col min="1021" max="1021" width="13" style="333" bestFit="1" customWidth="1"/>
    <col min="1022" max="1022" width="14" style="333" bestFit="1" customWidth="1"/>
    <col min="1023" max="1024" width="13" style="333" bestFit="1" customWidth="1"/>
    <col min="1025" max="1025" width="14" style="333" bestFit="1" customWidth="1"/>
    <col min="1026" max="1027" width="13" style="333" bestFit="1" customWidth="1"/>
    <col min="1028" max="1028" width="16" style="333" customWidth="1"/>
    <col min="1029" max="1273" width="9.140625" style="333"/>
    <col min="1274" max="1275" width="11" style="333" bestFit="1" customWidth="1"/>
    <col min="1276" max="1276" width="34.140625" style="333" customWidth="1"/>
    <col min="1277" max="1277" width="13" style="333" bestFit="1" customWidth="1"/>
    <col min="1278" max="1278" width="14" style="333" bestFit="1" customWidth="1"/>
    <col min="1279" max="1280" width="13" style="333" bestFit="1" customWidth="1"/>
    <col min="1281" max="1281" width="14" style="333" bestFit="1" customWidth="1"/>
    <col min="1282" max="1283" width="13" style="333" bestFit="1" customWidth="1"/>
    <col min="1284" max="1284" width="16" style="333" customWidth="1"/>
    <col min="1285" max="1529" width="9.140625" style="333"/>
    <col min="1530" max="1531" width="11" style="333" bestFit="1" customWidth="1"/>
    <col min="1532" max="1532" width="34.140625" style="333" customWidth="1"/>
    <col min="1533" max="1533" width="13" style="333" bestFit="1" customWidth="1"/>
    <col min="1534" max="1534" width="14" style="333" bestFit="1" customWidth="1"/>
    <col min="1535" max="1536" width="13" style="333" bestFit="1" customWidth="1"/>
    <col min="1537" max="1537" width="14" style="333" bestFit="1" customWidth="1"/>
    <col min="1538" max="1539" width="13" style="333" bestFit="1" customWidth="1"/>
    <col min="1540" max="1540" width="16" style="333" customWidth="1"/>
    <col min="1541" max="1785" width="9.140625" style="333"/>
    <col min="1786" max="1787" width="11" style="333" bestFit="1" customWidth="1"/>
    <col min="1788" max="1788" width="34.140625" style="333" customWidth="1"/>
    <col min="1789" max="1789" width="13" style="333" bestFit="1" customWidth="1"/>
    <col min="1790" max="1790" width="14" style="333" bestFit="1" customWidth="1"/>
    <col min="1791" max="1792" width="13" style="333" bestFit="1" customWidth="1"/>
    <col min="1793" max="1793" width="14" style="333" bestFit="1" customWidth="1"/>
    <col min="1794" max="1795" width="13" style="333" bestFit="1" customWidth="1"/>
    <col min="1796" max="1796" width="16" style="333" customWidth="1"/>
    <col min="1797" max="2041" width="9.140625" style="333"/>
    <col min="2042" max="2043" width="11" style="333" bestFit="1" customWidth="1"/>
    <col min="2044" max="2044" width="34.140625" style="333" customWidth="1"/>
    <col min="2045" max="2045" width="13" style="333" bestFit="1" customWidth="1"/>
    <col min="2046" max="2046" width="14" style="333" bestFit="1" customWidth="1"/>
    <col min="2047" max="2048" width="13" style="333" bestFit="1" customWidth="1"/>
    <col min="2049" max="2049" width="14" style="333" bestFit="1" customWidth="1"/>
    <col min="2050" max="2051" width="13" style="333" bestFit="1" customWidth="1"/>
    <col min="2052" max="2052" width="16" style="333" customWidth="1"/>
    <col min="2053" max="2297" width="9.140625" style="333"/>
    <col min="2298" max="2299" width="11" style="333" bestFit="1" customWidth="1"/>
    <col min="2300" max="2300" width="34.140625" style="333" customWidth="1"/>
    <col min="2301" max="2301" width="13" style="333" bestFit="1" customWidth="1"/>
    <col min="2302" max="2302" width="14" style="333" bestFit="1" customWidth="1"/>
    <col min="2303" max="2304" width="13" style="333" bestFit="1" customWidth="1"/>
    <col min="2305" max="2305" width="14" style="333" bestFit="1" customWidth="1"/>
    <col min="2306" max="2307" width="13" style="333" bestFit="1" customWidth="1"/>
    <col min="2308" max="2308" width="16" style="333" customWidth="1"/>
    <col min="2309" max="2553" width="9.140625" style="333"/>
    <col min="2554" max="2555" width="11" style="333" bestFit="1" customWidth="1"/>
    <col min="2556" max="2556" width="34.140625" style="333" customWidth="1"/>
    <col min="2557" max="2557" width="13" style="333" bestFit="1" customWidth="1"/>
    <col min="2558" max="2558" width="14" style="333" bestFit="1" customWidth="1"/>
    <col min="2559" max="2560" width="13" style="333" bestFit="1" customWidth="1"/>
    <col min="2561" max="2561" width="14" style="333" bestFit="1" customWidth="1"/>
    <col min="2562" max="2563" width="13" style="333" bestFit="1" customWidth="1"/>
    <col min="2564" max="2564" width="16" style="333" customWidth="1"/>
    <col min="2565" max="2809" width="9.140625" style="333"/>
    <col min="2810" max="2811" width="11" style="333" bestFit="1" customWidth="1"/>
    <col min="2812" max="2812" width="34.140625" style="333" customWidth="1"/>
    <col min="2813" max="2813" width="13" style="333" bestFit="1" customWidth="1"/>
    <col min="2814" max="2814" width="14" style="333" bestFit="1" customWidth="1"/>
    <col min="2815" max="2816" width="13" style="333" bestFit="1" customWidth="1"/>
    <col min="2817" max="2817" width="14" style="333" bestFit="1" customWidth="1"/>
    <col min="2818" max="2819" width="13" style="333" bestFit="1" customWidth="1"/>
    <col min="2820" max="2820" width="16" style="333" customWidth="1"/>
    <col min="2821" max="3065" width="9.140625" style="333"/>
    <col min="3066" max="3067" width="11" style="333" bestFit="1" customWidth="1"/>
    <col min="3068" max="3068" width="34.140625" style="333" customWidth="1"/>
    <col min="3069" max="3069" width="13" style="333" bestFit="1" customWidth="1"/>
    <col min="3070" max="3070" width="14" style="333" bestFit="1" customWidth="1"/>
    <col min="3071" max="3072" width="13" style="333" bestFit="1" customWidth="1"/>
    <col min="3073" max="3073" width="14" style="333" bestFit="1" customWidth="1"/>
    <col min="3074" max="3075" width="13" style="333" bestFit="1" customWidth="1"/>
    <col min="3076" max="3076" width="16" style="333" customWidth="1"/>
    <col min="3077" max="3321" width="9.140625" style="333"/>
    <col min="3322" max="3323" width="11" style="333" bestFit="1" customWidth="1"/>
    <col min="3324" max="3324" width="34.140625" style="333" customWidth="1"/>
    <col min="3325" max="3325" width="13" style="333" bestFit="1" customWidth="1"/>
    <col min="3326" max="3326" width="14" style="333" bestFit="1" customWidth="1"/>
    <col min="3327" max="3328" width="13" style="333" bestFit="1" customWidth="1"/>
    <col min="3329" max="3329" width="14" style="333" bestFit="1" customWidth="1"/>
    <col min="3330" max="3331" width="13" style="333" bestFit="1" customWidth="1"/>
    <col min="3332" max="3332" width="16" style="333" customWidth="1"/>
    <col min="3333" max="3577" width="9.140625" style="333"/>
    <col min="3578" max="3579" width="11" style="333" bestFit="1" customWidth="1"/>
    <col min="3580" max="3580" width="34.140625" style="333" customWidth="1"/>
    <col min="3581" max="3581" width="13" style="333" bestFit="1" customWidth="1"/>
    <col min="3582" max="3582" width="14" style="333" bestFit="1" customWidth="1"/>
    <col min="3583" max="3584" width="13" style="333" bestFit="1" customWidth="1"/>
    <col min="3585" max="3585" width="14" style="333" bestFit="1" customWidth="1"/>
    <col min="3586" max="3587" width="13" style="333" bestFit="1" customWidth="1"/>
    <col min="3588" max="3588" width="16" style="333" customWidth="1"/>
    <col min="3589" max="3833" width="9.140625" style="333"/>
    <col min="3834" max="3835" width="11" style="333" bestFit="1" customWidth="1"/>
    <col min="3836" max="3836" width="34.140625" style="333" customWidth="1"/>
    <col min="3837" max="3837" width="13" style="333" bestFit="1" customWidth="1"/>
    <col min="3838" max="3838" width="14" style="333" bestFit="1" customWidth="1"/>
    <col min="3839" max="3840" width="13" style="333" bestFit="1" customWidth="1"/>
    <col min="3841" max="3841" width="14" style="333" bestFit="1" customWidth="1"/>
    <col min="3842" max="3843" width="13" style="333" bestFit="1" customWidth="1"/>
    <col min="3844" max="3844" width="16" style="333" customWidth="1"/>
    <col min="3845" max="4089" width="9.140625" style="333"/>
    <col min="4090" max="4091" width="11" style="333" bestFit="1" customWidth="1"/>
    <col min="4092" max="4092" width="34.140625" style="333" customWidth="1"/>
    <col min="4093" max="4093" width="13" style="333" bestFit="1" customWidth="1"/>
    <col min="4094" max="4094" width="14" style="333" bestFit="1" customWidth="1"/>
    <col min="4095" max="4096" width="13" style="333" bestFit="1" customWidth="1"/>
    <col min="4097" max="4097" width="14" style="333" bestFit="1" customWidth="1"/>
    <col min="4098" max="4099" width="13" style="333" bestFit="1" customWidth="1"/>
    <col min="4100" max="4100" width="16" style="333" customWidth="1"/>
    <col min="4101" max="4345" width="9.140625" style="333"/>
    <col min="4346" max="4347" width="11" style="333" bestFit="1" customWidth="1"/>
    <col min="4348" max="4348" width="34.140625" style="333" customWidth="1"/>
    <col min="4349" max="4349" width="13" style="333" bestFit="1" customWidth="1"/>
    <col min="4350" max="4350" width="14" style="333" bestFit="1" customWidth="1"/>
    <col min="4351" max="4352" width="13" style="333" bestFit="1" customWidth="1"/>
    <col min="4353" max="4353" width="14" style="333" bestFit="1" customWidth="1"/>
    <col min="4354" max="4355" width="13" style="333" bestFit="1" customWidth="1"/>
    <col min="4356" max="4356" width="16" style="333" customWidth="1"/>
    <col min="4357" max="4601" width="9.140625" style="333"/>
    <col min="4602" max="4603" width="11" style="333" bestFit="1" customWidth="1"/>
    <col min="4604" max="4604" width="34.140625" style="333" customWidth="1"/>
    <col min="4605" max="4605" width="13" style="333" bestFit="1" customWidth="1"/>
    <col min="4606" max="4606" width="14" style="333" bestFit="1" customWidth="1"/>
    <col min="4607" max="4608" width="13" style="333" bestFit="1" customWidth="1"/>
    <col min="4609" max="4609" width="14" style="333" bestFit="1" customWidth="1"/>
    <col min="4610" max="4611" width="13" style="333" bestFit="1" customWidth="1"/>
    <col min="4612" max="4612" width="16" style="333" customWidth="1"/>
    <col min="4613" max="4857" width="9.140625" style="333"/>
    <col min="4858" max="4859" width="11" style="333" bestFit="1" customWidth="1"/>
    <col min="4860" max="4860" width="34.140625" style="333" customWidth="1"/>
    <col min="4861" max="4861" width="13" style="333" bestFit="1" customWidth="1"/>
    <col min="4862" max="4862" width="14" style="333" bestFit="1" customWidth="1"/>
    <col min="4863" max="4864" width="13" style="333" bestFit="1" customWidth="1"/>
    <col min="4865" max="4865" width="14" style="333" bestFit="1" customWidth="1"/>
    <col min="4866" max="4867" width="13" style="333" bestFit="1" customWidth="1"/>
    <col min="4868" max="4868" width="16" style="333" customWidth="1"/>
    <col min="4869" max="5113" width="9.140625" style="333"/>
    <col min="5114" max="5115" width="11" style="333" bestFit="1" customWidth="1"/>
    <col min="5116" max="5116" width="34.140625" style="333" customWidth="1"/>
    <col min="5117" max="5117" width="13" style="333" bestFit="1" customWidth="1"/>
    <col min="5118" max="5118" width="14" style="333" bestFit="1" customWidth="1"/>
    <col min="5119" max="5120" width="13" style="333" bestFit="1" customWidth="1"/>
    <col min="5121" max="5121" width="14" style="333" bestFit="1" customWidth="1"/>
    <col min="5122" max="5123" width="13" style="333" bestFit="1" customWidth="1"/>
    <col min="5124" max="5124" width="16" style="333" customWidth="1"/>
    <col min="5125" max="5369" width="9.140625" style="333"/>
    <col min="5370" max="5371" width="11" style="333" bestFit="1" customWidth="1"/>
    <col min="5372" max="5372" width="34.140625" style="333" customWidth="1"/>
    <col min="5373" max="5373" width="13" style="333" bestFit="1" customWidth="1"/>
    <col min="5374" max="5374" width="14" style="333" bestFit="1" customWidth="1"/>
    <col min="5375" max="5376" width="13" style="333" bestFit="1" customWidth="1"/>
    <col min="5377" max="5377" width="14" style="333" bestFit="1" customWidth="1"/>
    <col min="5378" max="5379" width="13" style="333" bestFit="1" customWidth="1"/>
    <col min="5380" max="5380" width="16" style="333" customWidth="1"/>
    <col min="5381" max="5625" width="9.140625" style="333"/>
    <col min="5626" max="5627" width="11" style="333" bestFit="1" customWidth="1"/>
    <col min="5628" max="5628" width="34.140625" style="333" customWidth="1"/>
    <col min="5629" max="5629" width="13" style="333" bestFit="1" customWidth="1"/>
    <col min="5630" max="5630" width="14" style="333" bestFit="1" customWidth="1"/>
    <col min="5631" max="5632" width="13" style="333" bestFit="1" customWidth="1"/>
    <col min="5633" max="5633" width="14" style="333" bestFit="1" customWidth="1"/>
    <col min="5634" max="5635" width="13" style="333" bestFit="1" customWidth="1"/>
    <col min="5636" max="5636" width="16" style="333" customWidth="1"/>
    <col min="5637" max="5881" width="9.140625" style="333"/>
    <col min="5882" max="5883" width="11" style="333" bestFit="1" customWidth="1"/>
    <col min="5884" max="5884" width="34.140625" style="333" customWidth="1"/>
    <col min="5885" max="5885" width="13" style="333" bestFit="1" customWidth="1"/>
    <col min="5886" max="5886" width="14" style="333" bestFit="1" customWidth="1"/>
    <col min="5887" max="5888" width="13" style="333" bestFit="1" customWidth="1"/>
    <col min="5889" max="5889" width="14" style="333" bestFit="1" customWidth="1"/>
    <col min="5890" max="5891" width="13" style="333" bestFit="1" customWidth="1"/>
    <col min="5892" max="5892" width="16" style="333" customWidth="1"/>
    <col min="5893" max="6137" width="9.140625" style="333"/>
    <col min="6138" max="6139" width="11" style="333" bestFit="1" customWidth="1"/>
    <col min="6140" max="6140" width="34.140625" style="333" customWidth="1"/>
    <col min="6141" max="6141" width="13" style="333" bestFit="1" customWidth="1"/>
    <col min="6142" max="6142" width="14" style="333" bestFit="1" customWidth="1"/>
    <col min="6143" max="6144" width="13" style="333" bestFit="1" customWidth="1"/>
    <col min="6145" max="6145" width="14" style="333" bestFit="1" customWidth="1"/>
    <col min="6146" max="6147" width="13" style="333" bestFit="1" customWidth="1"/>
    <col min="6148" max="6148" width="16" style="333" customWidth="1"/>
    <col min="6149" max="6393" width="9.140625" style="333"/>
    <col min="6394" max="6395" width="11" style="333" bestFit="1" customWidth="1"/>
    <col min="6396" max="6396" width="34.140625" style="333" customWidth="1"/>
    <col min="6397" max="6397" width="13" style="333" bestFit="1" customWidth="1"/>
    <col min="6398" max="6398" width="14" style="333" bestFit="1" customWidth="1"/>
    <col min="6399" max="6400" width="13" style="333" bestFit="1" customWidth="1"/>
    <col min="6401" max="6401" width="14" style="333" bestFit="1" customWidth="1"/>
    <col min="6402" max="6403" width="13" style="333" bestFit="1" customWidth="1"/>
    <col min="6404" max="6404" width="16" style="333" customWidth="1"/>
    <col min="6405" max="6649" width="9.140625" style="333"/>
    <col min="6650" max="6651" width="11" style="333" bestFit="1" customWidth="1"/>
    <col min="6652" max="6652" width="34.140625" style="333" customWidth="1"/>
    <col min="6653" max="6653" width="13" style="333" bestFit="1" customWidth="1"/>
    <col min="6654" max="6654" width="14" style="333" bestFit="1" customWidth="1"/>
    <col min="6655" max="6656" width="13" style="333" bestFit="1" customWidth="1"/>
    <col min="6657" max="6657" width="14" style="333" bestFit="1" customWidth="1"/>
    <col min="6658" max="6659" width="13" style="333" bestFit="1" customWidth="1"/>
    <col min="6660" max="6660" width="16" style="333" customWidth="1"/>
    <col min="6661" max="6905" width="9.140625" style="333"/>
    <col min="6906" max="6907" width="11" style="333" bestFit="1" customWidth="1"/>
    <col min="6908" max="6908" width="34.140625" style="333" customWidth="1"/>
    <col min="6909" max="6909" width="13" style="333" bestFit="1" customWidth="1"/>
    <col min="6910" max="6910" width="14" style="333" bestFit="1" customWidth="1"/>
    <col min="6911" max="6912" width="13" style="333" bestFit="1" customWidth="1"/>
    <col min="6913" max="6913" width="14" style="333" bestFit="1" customWidth="1"/>
    <col min="6914" max="6915" width="13" style="333" bestFit="1" customWidth="1"/>
    <col min="6916" max="6916" width="16" style="333" customWidth="1"/>
    <col min="6917" max="7161" width="9.140625" style="333"/>
    <col min="7162" max="7163" width="11" style="333" bestFit="1" customWidth="1"/>
    <col min="7164" max="7164" width="34.140625" style="333" customWidth="1"/>
    <col min="7165" max="7165" width="13" style="333" bestFit="1" customWidth="1"/>
    <col min="7166" max="7166" width="14" style="333" bestFit="1" customWidth="1"/>
    <col min="7167" max="7168" width="13" style="333" bestFit="1" customWidth="1"/>
    <col min="7169" max="7169" width="14" style="333" bestFit="1" customWidth="1"/>
    <col min="7170" max="7171" width="13" style="333" bestFit="1" customWidth="1"/>
    <col min="7172" max="7172" width="16" style="333" customWidth="1"/>
    <col min="7173" max="7417" width="9.140625" style="333"/>
    <col min="7418" max="7419" width="11" style="333" bestFit="1" customWidth="1"/>
    <col min="7420" max="7420" width="34.140625" style="333" customWidth="1"/>
    <col min="7421" max="7421" width="13" style="333" bestFit="1" customWidth="1"/>
    <col min="7422" max="7422" width="14" style="333" bestFit="1" customWidth="1"/>
    <col min="7423" max="7424" width="13" style="333" bestFit="1" customWidth="1"/>
    <col min="7425" max="7425" width="14" style="333" bestFit="1" customWidth="1"/>
    <col min="7426" max="7427" width="13" style="333" bestFit="1" customWidth="1"/>
    <col min="7428" max="7428" width="16" style="333" customWidth="1"/>
    <col min="7429" max="7673" width="9.140625" style="333"/>
    <col min="7674" max="7675" width="11" style="333" bestFit="1" customWidth="1"/>
    <col min="7676" max="7676" width="34.140625" style="333" customWidth="1"/>
    <col min="7677" max="7677" width="13" style="333" bestFit="1" customWidth="1"/>
    <col min="7678" max="7678" width="14" style="333" bestFit="1" customWidth="1"/>
    <col min="7679" max="7680" width="13" style="333" bestFit="1" customWidth="1"/>
    <col min="7681" max="7681" width="14" style="333" bestFit="1" customWidth="1"/>
    <col min="7682" max="7683" width="13" style="333" bestFit="1" customWidth="1"/>
    <col min="7684" max="7684" width="16" style="333" customWidth="1"/>
    <col min="7685" max="7929" width="9.140625" style="333"/>
    <col min="7930" max="7931" width="11" style="333" bestFit="1" customWidth="1"/>
    <col min="7932" max="7932" width="34.140625" style="333" customWidth="1"/>
    <col min="7933" max="7933" width="13" style="333" bestFit="1" customWidth="1"/>
    <col min="7934" max="7934" width="14" style="333" bestFit="1" customWidth="1"/>
    <col min="7935" max="7936" width="13" style="333" bestFit="1" customWidth="1"/>
    <col min="7937" max="7937" width="14" style="333" bestFit="1" customWidth="1"/>
    <col min="7938" max="7939" width="13" style="333" bestFit="1" customWidth="1"/>
    <col min="7940" max="7940" width="16" style="333" customWidth="1"/>
    <col min="7941" max="8185" width="9.140625" style="333"/>
    <col min="8186" max="8187" width="11" style="333" bestFit="1" customWidth="1"/>
    <col min="8188" max="8188" width="34.140625" style="333" customWidth="1"/>
    <col min="8189" max="8189" width="13" style="333" bestFit="1" customWidth="1"/>
    <col min="8190" max="8190" width="14" style="333" bestFit="1" customWidth="1"/>
    <col min="8191" max="8192" width="13" style="333" bestFit="1" customWidth="1"/>
    <col min="8193" max="8193" width="14" style="333" bestFit="1" customWidth="1"/>
    <col min="8194" max="8195" width="13" style="333" bestFit="1" customWidth="1"/>
    <col min="8196" max="8196" width="16" style="333" customWidth="1"/>
    <col min="8197" max="8441" width="9.140625" style="333"/>
    <col min="8442" max="8443" width="11" style="333" bestFit="1" customWidth="1"/>
    <col min="8444" max="8444" width="34.140625" style="333" customWidth="1"/>
    <col min="8445" max="8445" width="13" style="333" bestFit="1" customWidth="1"/>
    <col min="8446" max="8446" width="14" style="333" bestFit="1" customWidth="1"/>
    <col min="8447" max="8448" width="13" style="333" bestFit="1" customWidth="1"/>
    <col min="8449" max="8449" width="14" style="333" bestFit="1" customWidth="1"/>
    <col min="8450" max="8451" width="13" style="333" bestFit="1" customWidth="1"/>
    <col min="8452" max="8452" width="16" style="333" customWidth="1"/>
    <col min="8453" max="8697" width="9.140625" style="333"/>
    <col min="8698" max="8699" width="11" style="333" bestFit="1" customWidth="1"/>
    <col min="8700" max="8700" width="34.140625" style="333" customWidth="1"/>
    <col min="8701" max="8701" width="13" style="333" bestFit="1" customWidth="1"/>
    <col min="8702" max="8702" width="14" style="333" bestFit="1" customWidth="1"/>
    <col min="8703" max="8704" width="13" style="333" bestFit="1" customWidth="1"/>
    <col min="8705" max="8705" width="14" style="333" bestFit="1" customWidth="1"/>
    <col min="8706" max="8707" width="13" style="333" bestFit="1" customWidth="1"/>
    <col min="8708" max="8708" width="16" style="333" customWidth="1"/>
    <col min="8709" max="8953" width="9.140625" style="333"/>
    <col min="8954" max="8955" width="11" style="333" bestFit="1" customWidth="1"/>
    <col min="8956" max="8956" width="34.140625" style="333" customWidth="1"/>
    <col min="8957" max="8957" width="13" style="333" bestFit="1" customWidth="1"/>
    <col min="8958" max="8958" width="14" style="333" bestFit="1" customWidth="1"/>
    <col min="8959" max="8960" width="13" style="333" bestFit="1" customWidth="1"/>
    <col min="8961" max="8961" width="14" style="333" bestFit="1" customWidth="1"/>
    <col min="8962" max="8963" width="13" style="333" bestFit="1" customWidth="1"/>
    <col min="8964" max="8964" width="16" style="333" customWidth="1"/>
    <col min="8965" max="9209" width="9.140625" style="333"/>
    <col min="9210" max="9211" width="11" style="333" bestFit="1" customWidth="1"/>
    <col min="9212" max="9212" width="34.140625" style="333" customWidth="1"/>
    <col min="9213" max="9213" width="13" style="333" bestFit="1" customWidth="1"/>
    <col min="9214" max="9214" width="14" style="333" bestFit="1" customWidth="1"/>
    <col min="9215" max="9216" width="13" style="333" bestFit="1" customWidth="1"/>
    <col min="9217" max="9217" width="14" style="333" bestFit="1" customWidth="1"/>
    <col min="9218" max="9219" width="13" style="333" bestFit="1" customWidth="1"/>
    <col min="9220" max="9220" width="16" style="333" customWidth="1"/>
    <col min="9221" max="9465" width="9.140625" style="333"/>
    <col min="9466" max="9467" width="11" style="333" bestFit="1" customWidth="1"/>
    <col min="9468" max="9468" width="34.140625" style="333" customWidth="1"/>
    <col min="9469" max="9469" width="13" style="333" bestFit="1" customWidth="1"/>
    <col min="9470" max="9470" width="14" style="333" bestFit="1" customWidth="1"/>
    <col min="9471" max="9472" width="13" style="333" bestFit="1" customWidth="1"/>
    <col min="9473" max="9473" width="14" style="333" bestFit="1" customWidth="1"/>
    <col min="9474" max="9475" width="13" style="333" bestFit="1" customWidth="1"/>
    <col min="9476" max="9476" width="16" style="333" customWidth="1"/>
    <col min="9477" max="9721" width="9.140625" style="333"/>
    <col min="9722" max="9723" width="11" style="333" bestFit="1" customWidth="1"/>
    <col min="9724" max="9724" width="34.140625" style="333" customWidth="1"/>
    <col min="9725" max="9725" width="13" style="333" bestFit="1" customWidth="1"/>
    <col min="9726" max="9726" width="14" style="333" bestFit="1" customWidth="1"/>
    <col min="9727" max="9728" width="13" style="333" bestFit="1" customWidth="1"/>
    <col min="9729" max="9729" width="14" style="333" bestFit="1" customWidth="1"/>
    <col min="9730" max="9731" width="13" style="333" bestFit="1" customWidth="1"/>
    <col min="9732" max="9732" width="16" style="333" customWidth="1"/>
    <col min="9733" max="9977" width="9.140625" style="333"/>
    <col min="9978" max="9979" width="11" style="333" bestFit="1" customWidth="1"/>
    <col min="9980" max="9980" width="34.140625" style="333" customWidth="1"/>
    <col min="9981" max="9981" width="13" style="333" bestFit="1" customWidth="1"/>
    <col min="9982" max="9982" width="14" style="333" bestFit="1" customWidth="1"/>
    <col min="9983" max="9984" width="13" style="333" bestFit="1" customWidth="1"/>
    <col min="9985" max="9985" width="14" style="333" bestFit="1" customWidth="1"/>
    <col min="9986" max="9987" width="13" style="333" bestFit="1" customWidth="1"/>
    <col min="9988" max="9988" width="16" style="333" customWidth="1"/>
    <col min="9989" max="10233" width="9.140625" style="333"/>
    <col min="10234" max="10235" width="11" style="333" bestFit="1" customWidth="1"/>
    <col min="10236" max="10236" width="34.140625" style="333" customWidth="1"/>
    <col min="10237" max="10237" width="13" style="333" bestFit="1" customWidth="1"/>
    <col min="10238" max="10238" width="14" style="333" bestFit="1" customWidth="1"/>
    <col min="10239" max="10240" width="13" style="333" bestFit="1" customWidth="1"/>
    <col min="10241" max="10241" width="14" style="333" bestFit="1" customWidth="1"/>
    <col min="10242" max="10243" width="13" style="333" bestFit="1" customWidth="1"/>
    <col min="10244" max="10244" width="16" style="333" customWidth="1"/>
    <col min="10245" max="10489" width="9.140625" style="333"/>
    <col min="10490" max="10491" width="11" style="333" bestFit="1" customWidth="1"/>
    <col min="10492" max="10492" width="34.140625" style="333" customWidth="1"/>
    <col min="10493" max="10493" width="13" style="333" bestFit="1" customWidth="1"/>
    <col min="10494" max="10494" width="14" style="333" bestFit="1" customWidth="1"/>
    <col min="10495" max="10496" width="13" style="333" bestFit="1" customWidth="1"/>
    <col min="10497" max="10497" width="14" style="333" bestFit="1" customWidth="1"/>
    <col min="10498" max="10499" width="13" style="333" bestFit="1" customWidth="1"/>
    <col min="10500" max="10500" width="16" style="333" customWidth="1"/>
    <col min="10501" max="10745" width="9.140625" style="333"/>
    <col min="10746" max="10747" width="11" style="333" bestFit="1" customWidth="1"/>
    <col min="10748" max="10748" width="34.140625" style="333" customWidth="1"/>
    <col min="10749" max="10749" width="13" style="333" bestFit="1" customWidth="1"/>
    <col min="10750" max="10750" width="14" style="333" bestFit="1" customWidth="1"/>
    <col min="10751" max="10752" width="13" style="333" bestFit="1" customWidth="1"/>
    <col min="10753" max="10753" width="14" style="333" bestFit="1" customWidth="1"/>
    <col min="10754" max="10755" width="13" style="333" bestFit="1" customWidth="1"/>
    <col min="10756" max="10756" width="16" style="333" customWidth="1"/>
    <col min="10757" max="11001" width="9.140625" style="333"/>
    <col min="11002" max="11003" width="11" style="333" bestFit="1" customWidth="1"/>
    <col min="11004" max="11004" width="34.140625" style="333" customWidth="1"/>
    <col min="11005" max="11005" width="13" style="333" bestFit="1" customWidth="1"/>
    <col min="11006" max="11006" width="14" style="333" bestFit="1" customWidth="1"/>
    <col min="11007" max="11008" width="13" style="333" bestFit="1" customWidth="1"/>
    <col min="11009" max="11009" width="14" style="333" bestFit="1" customWidth="1"/>
    <col min="11010" max="11011" width="13" style="333" bestFit="1" customWidth="1"/>
    <col min="11012" max="11012" width="16" style="333" customWidth="1"/>
    <col min="11013" max="11257" width="9.140625" style="333"/>
    <col min="11258" max="11259" width="11" style="333" bestFit="1" customWidth="1"/>
    <col min="11260" max="11260" width="34.140625" style="333" customWidth="1"/>
    <col min="11261" max="11261" width="13" style="333" bestFit="1" customWidth="1"/>
    <col min="11262" max="11262" width="14" style="333" bestFit="1" customWidth="1"/>
    <col min="11263" max="11264" width="13" style="333" bestFit="1" customWidth="1"/>
    <col min="11265" max="11265" width="14" style="333" bestFit="1" customWidth="1"/>
    <col min="11266" max="11267" width="13" style="333" bestFit="1" customWidth="1"/>
    <col min="11268" max="11268" width="16" style="333" customWidth="1"/>
    <col min="11269" max="11513" width="9.140625" style="333"/>
    <col min="11514" max="11515" width="11" style="333" bestFit="1" customWidth="1"/>
    <col min="11516" max="11516" width="34.140625" style="333" customWidth="1"/>
    <col min="11517" max="11517" width="13" style="333" bestFit="1" customWidth="1"/>
    <col min="11518" max="11518" width="14" style="333" bestFit="1" customWidth="1"/>
    <col min="11519" max="11520" width="13" style="333" bestFit="1" customWidth="1"/>
    <col min="11521" max="11521" width="14" style="333" bestFit="1" customWidth="1"/>
    <col min="11522" max="11523" width="13" style="333" bestFit="1" customWidth="1"/>
    <col min="11524" max="11524" width="16" style="333" customWidth="1"/>
    <col min="11525" max="11769" width="9.140625" style="333"/>
    <col min="11770" max="11771" width="11" style="333" bestFit="1" customWidth="1"/>
    <col min="11772" max="11772" width="34.140625" style="333" customWidth="1"/>
    <col min="11773" max="11773" width="13" style="333" bestFit="1" customWidth="1"/>
    <col min="11774" max="11774" width="14" style="333" bestFit="1" customWidth="1"/>
    <col min="11775" max="11776" width="13" style="333" bestFit="1" customWidth="1"/>
    <col min="11777" max="11777" width="14" style="333" bestFit="1" customWidth="1"/>
    <col min="11778" max="11779" width="13" style="333" bestFit="1" customWidth="1"/>
    <col min="11780" max="11780" width="16" style="333" customWidth="1"/>
    <col min="11781" max="12025" width="9.140625" style="333"/>
    <col min="12026" max="12027" width="11" style="333" bestFit="1" customWidth="1"/>
    <col min="12028" max="12028" width="34.140625" style="333" customWidth="1"/>
    <col min="12029" max="12029" width="13" style="333" bestFit="1" customWidth="1"/>
    <col min="12030" max="12030" width="14" style="333" bestFit="1" customWidth="1"/>
    <col min="12031" max="12032" width="13" style="333" bestFit="1" customWidth="1"/>
    <col min="12033" max="12033" width="14" style="333" bestFit="1" customWidth="1"/>
    <col min="12034" max="12035" width="13" style="333" bestFit="1" customWidth="1"/>
    <col min="12036" max="12036" width="16" style="333" customWidth="1"/>
    <col min="12037" max="12281" width="9.140625" style="333"/>
    <col min="12282" max="12283" width="11" style="333" bestFit="1" customWidth="1"/>
    <col min="12284" max="12284" width="34.140625" style="333" customWidth="1"/>
    <col min="12285" max="12285" width="13" style="333" bestFit="1" customWidth="1"/>
    <col min="12286" max="12286" width="14" style="333" bestFit="1" customWidth="1"/>
    <col min="12287" max="12288" width="13" style="333" bestFit="1" customWidth="1"/>
    <col min="12289" max="12289" width="14" style="333" bestFit="1" customWidth="1"/>
    <col min="12290" max="12291" width="13" style="333" bestFit="1" customWidth="1"/>
    <col min="12292" max="12292" width="16" style="333" customWidth="1"/>
    <col min="12293" max="12537" width="9.140625" style="333"/>
    <col min="12538" max="12539" width="11" style="333" bestFit="1" customWidth="1"/>
    <col min="12540" max="12540" width="34.140625" style="333" customWidth="1"/>
    <col min="12541" max="12541" width="13" style="333" bestFit="1" customWidth="1"/>
    <col min="12542" max="12542" width="14" style="333" bestFit="1" customWidth="1"/>
    <col min="12543" max="12544" width="13" style="333" bestFit="1" customWidth="1"/>
    <col min="12545" max="12545" width="14" style="333" bestFit="1" customWidth="1"/>
    <col min="12546" max="12547" width="13" style="333" bestFit="1" customWidth="1"/>
    <col min="12548" max="12548" width="16" style="333" customWidth="1"/>
    <col min="12549" max="12793" width="9.140625" style="333"/>
    <col min="12794" max="12795" width="11" style="333" bestFit="1" customWidth="1"/>
    <col min="12796" max="12796" width="34.140625" style="333" customWidth="1"/>
    <col min="12797" max="12797" width="13" style="333" bestFit="1" customWidth="1"/>
    <col min="12798" max="12798" width="14" style="333" bestFit="1" customWidth="1"/>
    <col min="12799" max="12800" width="13" style="333" bestFit="1" customWidth="1"/>
    <col min="12801" max="12801" width="14" style="333" bestFit="1" customWidth="1"/>
    <col min="12802" max="12803" width="13" style="333" bestFit="1" customWidth="1"/>
    <col min="12804" max="12804" width="16" style="333" customWidth="1"/>
    <col min="12805" max="13049" width="9.140625" style="333"/>
    <col min="13050" max="13051" width="11" style="333" bestFit="1" customWidth="1"/>
    <col min="13052" max="13052" width="34.140625" style="333" customWidth="1"/>
    <col min="13053" max="13053" width="13" style="333" bestFit="1" customWidth="1"/>
    <col min="13054" max="13054" width="14" style="333" bestFit="1" customWidth="1"/>
    <col min="13055" max="13056" width="13" style="333" bestFit="1" customWidth="1"/>
    <col min="13057" max="13057" width="14" style="333" bestFit="1" customWidth="1"/>
    <col min="13058" max="13059" width="13" style="333" bestFit="1" customWidth="1"/>
    <col min="13060" max="13060" width="16" style="333" customWidth="1"/>
    <col min="13061" max="13305" width="9.140625" style="333"/>
    <col min="13306" max="13307" width="11" style="333" bestFit="1" customWidth="1"/>
    <col min="13308" max="13308" width="34.140625" style="333" customWidth="1"/>
    <col min="13309" max="13309" width="13" style="333" bestFit="1" customWidth="1"/>
    <col min="13310" max="13310" width="14" style="333" bestFit="1" customWidth="1"/>
    <col min="13311" max="13312" width="13" style="333" bestFit="1" customWidth="1"/>
    <col min="13313" max="13313" width="14" style="333" bestFit="1" customWidth="1"/>
    <col min="13314" max="13315" width="13" style="333" bestFit="1" customWidth="1"/>
    <col min="13316" max="13316" width="16" style="333" customWidth="1"/>
    <col min="13317" max="13561" width="9.140625" style="333"/>
    <col min="13562" max="13563" width="11" style="333" bestFit="1" customWidth="1"/>
    <col min="13564" max="13564" width="34.140625" style="333" customWidth="1"/>
    <col min="13565" max="13565" width="13" style="333" bestFit="1" customWidth="1"/>
    <col min="13566" max="13566" width="14" style="333" bestFit="1" customWidth="1"/>
    <col min="13567" max="13568" width="13" style="333" bestFit="1" customWidth="1"/>
    <col min="13569" max="13569" width="14" style="333" bestFit="1" customWidth="1"/>
    <col min="13570" max="13571" width="13" style="333" bestFit="1" customWidth="1"/>
    <col min="13572" max="13572" width="16" style="333" customWidth="1"/>
    <col min="13573" max="13817" width="9.140625" style="333"/>
    <col min="13818" max="13819" width="11" style="333" bestFit="1" customWidth="1"/>
    <col min="13820" max="13820" width="34.140625" style="333" customWidth="1"/>
    <col min="13821" max="13821" width="13" style="333" bestFit="1" customWidth="1"/>
    <col min="13822" max="13822" width="14" style="333" bestFit="1" customWidth="1"/>
    <col min="13823" max="13824" width="13" style="333" bestFit="1" customWidth="1"/>
    <col min="13825" max="13825" width="14" style="333" bestFit="1" customWidth="1"/>
    <col min="13826" max="13827" width="13" style="333" bestFit="1" customWidth="1"/>
    <col min="13828" max="13828" width="16" style="333" customWidth="1"/>
    <col min="13829" max="14073" width="9.140625" style="333"/>
    <col min="14074" max="14075" width="11" style="333" bestFit="1" customWidth="1"/>
    <col min="14076" max="14076" width="34.140625" style="333" customWidth="1"/>
    <col min="14077" max="14077" width="13" style="333" bestFit="1" customWidth="1"/>
    <col min="14078" max="14078" width="14" style="333" bestFit="1" customWidth="1"/>
    <col min="14079" max="14080" width="13" style="333" bestFit="1" customWidth="1"/>
    <col min="14081" max="14081" width="14" style="333" bestFit="1" customWidth="1"/>
    <col min="14082" max="14083" width="13" style="333" bestFit="1" customWidth="1"/>
    <col min="14084" max="14084" width="16" style="333" customWidth="1"/>
    <col min="14085" max="14329" width="9.140625" style="333"/>
    <col min="14330" max="14331" width="11" style="333" bestFit="1" customWidth="1"/>
    <col min="14332" max="14332" width="34.140625" style="333" customWidth="1"/>
    <col min="14333" max="14333" width="13" style="333" bestFit="1" customWidth="1"/>
    <col min="14334" max="14334" width="14" style="333" bestFit="1" customWidth="1"/>
    <col min="14335" max="14336" width="13" style="333" bestFit="1" customWidth="1"/>
    <col min="14337" max="14337" width="14" style="333" bestFit="1" customWidth="1"/>
    <col min="14338" max="14339" width="13" style="333" bestFit="1" customWidth="1"/>
    <col min="14340" max="14340" width="16" style="333" customWidth="1"/>
    <col min="14341" max="14585" width="9.140625" style="333"/>
    <col min="14586" max="14587" width="11" style="333" bestFit="1" customWidth="1"/>
    <col min="14588" max="14588" width="34.140625" style="333" customWidth="1"/>
    <col min="14589" max="14589" width="13" style="333" bestFit="1" customWidth="1"/>
    <col min="14590" max="14590" width="14" style="333" bestFit="1" customWidth="1"/>
    <col min="14591" max="14592" width="13" style="333" bestFit="1" customWidth="1"/>
    <col min="14593" max="14593" width="14" style="333" bestFit="1" customWidth="1"/>
    <col min="14594" max="14595" width="13" style="333" bestFit="1" customWidth="1"/>
    <col min="14596" max="14596" width="16" style="333" customWidth="1"/>
    <col min="14597" max="14841" width="9.140625" style="333"/>
    <col min="14842" max="14843" width="11" style="333" bestFit="1" customWidth="1"/>
    <col min="14844" max="14844" width="34.140625" style="333" customWidth="1"/>
    <col min="14845" max="14845" width="13" style="333" bestFit="1" customWidth="1"/>
    <col min="14846" max="14846" width="14" style="333" bestFit="1" customWidth="1"/>
    <col min="14847" max="14848" width="13" style="333" bestFit="1" customWidth="1"/>
    <col min="14849" max="14849" width="14" style="333" bestFit="1" customWidth="1"/>
    <col min="14850" max="14851" width="13" style="333" bestFit="1" customWidth="1"/>
    <col min="14852" max="14852" width="16" style="333" customWidth="1"/>
    <col min="14853" max="15097" width="9.140625" style="333"/>
    <col min="15098" max="15099" width="11" style="333" bestFit="1" customWidth="1"/>
    <col min="15100" max="15100" width="34.140625" style="333" customWidth="1"/>
    <col min="15101" max="15101" width="13" style="333" bestFit="1" customWidth="1"/>
    <col min="15102" max="15102" width="14" style="333" bestFit="1" customWidth="1"/>
    <col min="15103" max="15104" width="13" style="333" bestFit="1" customWidth="1"/>
    <col min="15105" max="15105" width="14" style="333" bestFit="1" customWidth="1"/>
    <col min="15106" max="15107" width="13" style="333" bestFit="1" customWidth="1"/>
    <col min="15108" max="15108" width="16" style="333" customWidth="1"/>
    <col min="15109" max="15353" width="9.140625" style="333"/>
    <col min="15354" max="15355" width="11" style="333" bestFit="1" customWidth="1"/>
    <col min="15356" max="15356" width="34.140625" style="333" customWidth="1"/>
    <col min="15357" max="15357" width="13" style="333" bestFit="1" customWidth="1"/>
    <col min="15358" max="15358" width="14" style="333" bestFit="1" customWidth="1"/>
    <col min="15359" max="15360" width="13" style="333" bestFit="1" customWidth="1"/>
    <col min="15361" max="15361" width="14" style="333" bestFit="1" customWidth="1"/>
    <col min="15362" max="15363" width="13" style="333" bestFit="1" customWidth="1"/>
    <col min="15364" max="15364" width="16" style="333" customWidth="1"/>
    <col min="15365" max="15609" width="9.140625" style="333"/>
    <col min="15610" max="15611" width="11" style="333" bestFit="1" customWidth="1"/>
    <col min="15612" max="15612" width="34.140625" style="333" customWidth="1"/>
    <col min="15613" max="15613" width="13" style="333" bestFit="1" customWidth="1"/>
    <col min="15614" max="15614" width="14" style="333" bestFit="1" customWidth="1"/>
    <col min="15615" max="15616" width="13" style="333" bestFit="1" customWidth="1"/>
    <col min="15617" max="15617" width="14" style="333" bestFit="1" customWidth="1"/>
    <col min="15618" max="15619" width="13" style="333" bestFit="1" customWidth="1"/>
    <col min="15620" max="15620" width="16" style="333" customWidth="1"/>
    <col min="15621" max="15865" width="9.140625" style="333"/>
    <col min="15866" max="15867" width="11" style="333" bestFit="1" customWidth="1"/>
    <col min="15868" max="15868" width="34.140625" style="333" customWidth="1"/>
    <col min="15869" max="15869" width="13" style="333" bestFit="1" customWidth="1"/>
    <col min="15870" max="15870" width="14" style="333" bestFit="1" customWidth="1"/>
    <col min="15871" max="15872" width="13" style="333" bestFit="1" customWidth="1"/>
    <col min="15873" max="15873" width="14" style="333" bestFit="1" customWidth="1"/>
    <col min="15874" max="15875" width="13" style="333" bestFit="1" customWidth="1"/>
    <col min="15876" max="15876" width="16" style="333" customWidth="1"/>
    <col min="15877" max="16121" width="9.140625" style="333"/>
    <col min="16122" max="16123" width="11" style="333" bestFit="1" customWidth="1"/>
    <col min="16124" max="16124" width="34.140625" style="333" customWidth="1"/>
    <col min="16125" max="16125" width="13" style="333" bestFit="1" customWidth="1"/>
    <col min="16126" max="16126" width="14" style="333" bestFit="1" customWidth="1"/>
    <col min="16127" max="16128" width="13" style="333" bestFit="1" customWidth="1"/>
    <col min="16129" max="16129" width="14" style="333" bestFit="1" customWidth="1"/>
    <col min="16130" max="16131" width="13" style="333" bestFit="1" customWidth="1"/>
    <col min="16132" max="16132" width="16" style="333" customWidth="1"/>
    <col min="16133" max="16384" width="9.140625" style="333"/>
  </cols>
  <sheetData>
    <row r="2" spans="1:7" x14ac:dyDescent="0.2">
      <c r="D2" s="350"/>
    </row>
    <row r="3" spans="1:7" ht="15.75" x14ac:dyDescent="0.25">
      <c r="D3" s="349">
        <f>SUBTOTAL(9,D6:D59)</f>
        <v>98890426.909999996</v>
      </c>
    </row>
    <row r="5" spans="1:7" ht="15.75" x14ac:dyDescent="0.25">
      <c r="A5" s="334" t="s">
        <v>150</v>
      </c>
      <c r="B5" s="334" t="s">
        <v>151</v>
      </c>
      <c r="C5" s="335" t="s">
        <v>152</v>
      </c>
      <c r="D5" s="351" t="s">
        <v>1064</v>
      </c>
      <c r="E5" s="352" t="s">
        <v>238</v>
      </c>
      <c r="F5" s="340" t="s">
        <v>122</v>
      </c>
      <c r="G5" s="340" t="s">
        <v>239</v>
      </c>
    </row>
    <row r="6" spans="1:7" ht="15.75" x14ac:dyDescent="0.25">
      <c r="A6" s="338" t="s">
        <v>1066</v>
      </c>
      <c r="B6" s="338" t="s">
        <v>1067</v>
      </c>
      <c r="C6" s="355" t="s">
        <v>155</v>
      </c>
      <c r="D6" s="356">
        <v>333.78</v>
      </c>
      <c r="E6" s="357" t="s">
        <v>1193</v>
      </c>
      <c r="F6" s="347"/>
      <c r="G6" s="346"/>
    </row>
    <row r="7" spans="1:7" ht="15.75" x14ac:dyDescent="0.2">
      <c r="A7" s="338" t="s">
        <v>1068</v>
      </c>
      <c r="B7" s="338" t="s">
        <v>960</v>
      </c>
      <c r="C7" s="339" t="s">
        <v>155</v>
      </c>
      <c r="D7" s="353">
        <v>19.579999999999998</v>
      </c>
      <c r="E7" s="354" t="s">
        <v>66</v>
      </c>
      <c r="F7" s="347" t="s">
        <v>959</v>
      </c>
      <c r="G7" s="346"/>
    </row>
    <row r="8" spans="1:7" ht="15.75" x14ac:dyDescent="0.2">
      <c r="A8" s="338" t="s">
        <v>1069</v>
      </c>
      <c r="B8" s="338" t="s">
        <v>961</v>
      </c>
      <c r="C8" s="339" t="s">
        <v>155</v>
      </c>
      <c r="D8" s="341">
        <v>176</v>
      </c>
      <c r="E8" s="346" t="s">
        <v>66</v>
      </c>
      <c r="F8" s="347" t="s">
        <v>959</v>
      </c>
      <c r="G8" s="346"/>
    </row>
    <row r="9" spans="1:7" ht="15.75" x14ac:dyDescent="0.2">
      <c r="A9" s="338" t="s">
        <v>1070</v>
      </c>
      <c r="B9" s="338" t="s">
        <v>962</v>
      </c>
      <c r="C9" s="339" t="s">
        <v>155</v>
      </c>
      <c r="D9" s="341">
        <v>88</v>
      </c>
      <c r="E9" s="346" t="s">
        <v>66</v>
      </c>
      <c r="F9" s="347" t="s">
        <v>959</v>
      </c>
      <c r="G9" s="346"/>
    </row>
    <row r="10" spans="1:7" ht="15.75" x14ac:dyDescent="0.2">
      <c r="A10" s="338" t="s">
        <v>1071</v>
      </c>
      <c r="B10" s="338" t="s">
        <v>986</v>
      </c>
      <c r="C10" s="339" t="s">
        <v>155</v>
      </c>
      <c r="D10" s="341">
        <v>20490.5</v>
      </c>
      <c r="E10" s="346" t="s">
        <v>66</v>
      </c>
      <c r="F10" s="347" t="s">
        <v>985</v>
      </c>
      <c r="G10" s="346"/>
    </row>
    <row r="11" spans="1:7" ht="15.75" x14ac:dyDescent="0.2">
      <c r="A11" s="338" t="s">
        <v>1072</v>
      </c>
      <c r="B11" s="338" t="s">
        <v>963</v>
      </c>
      <c r="C11" s="339" t="s">
        <v>155</v>
      </c>
      <c r="D11" s="341">
        <v>239</v>
      </c>
      <c r="E11" s="346" t="s">
        <v>66</v>
      </c>
      <c r="F11" s="347" t="s">
        <v>959</v>
      </c>
      <c r="G11" s="346"/>
    </row>
    <row r="12" spans="1:7" ht="15.75" x14ac:dyDescent="0.2">
      <c r="A12" s="338" t="s">
        <v>1073</v>
      </c>
      <c r="B12" s="338" t="s">
        <v>964</v>
      </c>
      <c r="C12" s="339" t="s">
        <v>155</v>
      </c>
      <c r="D12" s="341">
        <v>150</v>
      </c>
      <c r="E12" s="346" t="s">
        <v>66</v>
      </c>
      <c r="F12" s="347" t="s">
        <v>959</v>
      </c>
      <c r="G12" s="346"/>
    </row>
    <row r="13" spans="1:7" ht="15.75" x14ac:dyDescent="0.2">
      <c r="A13" s="338" t="s">
        <v>1074</v>
      </c>
      <c r="B13" s="338" t="s">
        <v>965</v>
      </c>
      <c r="C13" s="339" t="s">
        <v>155</v>
      </c>
      <c r="D13" s="341">
        <v>9227.89</v>
      </c>
      <c r="E13" s="346" t="s">
        <v>66</v>
      </c>
      <c r="F13" s="347" t="s">
        <v>959</v>
      </c>
      <c r="G13" s="346"/>
    </row>
    <row r="14" spans="1:7" ht="15.75" x14ac:dyDescent="0.2">
      <c r="A14" s="338" t="s">
        <v>1075</v>
      </c>
      <c r="B14" s="338" t="s">
        <v>987</v>
      </c>
      <c r="C14" s="339" t="s">
        <v>155</v>
      </c>
      <c r="D14" s="341">
        <v>1664.16</v>
      </c>
      <c r="E14" s="346" t="s">
        <v>66</v>
      </c>
      <c r="F14" s="347" t="s">
        <v>985</v>
      </c>
      <c r="G14" s="346"/>
    </row>
    <row r="15" spans="1:7" ht="15.75" x14ac:dyDescent="0.2">
      <c r="A15" s="338" t="s">
        <v>1076</v>
      </c>
      <c r="B15" s="338" t="s">
        <v>966</v>
      </c>
      <c r="C15" s="339" t="s">
        <v>155</v>
      </c>
      <c r="D15" s="341">
        <v>763213.66</v>
      </c>
      <c r="E15" s="346" t="s">
        <v>66</v>
      </c>
      <c r="F15" s="347" t="s">
        <v>959</v>
      </c>
      <c r="G15" s="346"/>
    </row>
    <row r="16" spans="1:7" ht="15.75" x14ac:dyDescent="0.2">
      <c r="A16" s="338" t="s">
        <v>1077</v>
      </c>
      <c r="B16" s="338" t="s">
        <v>988</v>
      </c>
      <c r="C16" s="339" t="s">
        <v>155</v>
      </c>
      <c r="D16" s="341">
        <v>406034.78</v>
      </c>
      <c r="E16" s="346" t="s">
        <v>66</v>
      </c>
      <c r="F16" s="347" t="s">
        <v>985</v>
      </c>
      <c r="G16" s="346"/>
    </row>
    <row r="17" spans="1:7" ht="15.75" x14ac:dyDescent="0.2">
      <c r="A17" s="338" t="s">
        <v>1078</v>
      </c>
      <c r="B17" s="338" t="s">
        <v>967</v>
      </c>
      <c r="C17" s="339" t="s">
        <v>155</v>
      </c>
      <c r="D17" s="341">
        <v>41814.230000000003</v>
      </c>
      <c r="E17" s="346" t="s">
        <v>66</v>
      </c>
      <c r="F17" s="347" t="s">
        <v>959</v>
      </c>
      <c r="G17" s="346"/>
    </row>
    <row r="18" spans="1:7" ht="15.75" x14ac:dyDescent="0.2">
      <c r="A18" s="338" t="s">
        <v>1079</v>
      </c>
      <c r="B18" s="338" t="s">
        <v>989</v>
      </c>
      <c r="C18" s="339" t="s">
        <v>155</v>
      </c>
      <c r="D18" s="341">
        <v>302.39</v>
      </c>
      <c r="E18" s="346" t="s">
        <v>66</v>
      </c>
      <c r="F18" s="347" t="s">
        <v>985</v>
      </c>
      <c r="G18" s="346"/>
    </row>
    <row r="19" spans="1:7" ht="15.75" x14ac:dyDescent="0.2">
      <c r="A19" s="338" t="s">
        <v>1080</v>
      </c>
      <c r="B19" s="338" t="s">
        <v>968</v>
      </c>
      <c r="C19" s="339" t="s">
        <v>155</v>
      </c>
      <c r="D19" s="341">
        <v>414429.64</v>
      </c>
      <c r="E19" s="346" t="s">
        <v>66</v>
      </c>
      <c r="F19" s="347" t="s">
        <v>959</v>
      </c>
      <c r="G19" s="346"/>
    </row>
    <row r="20" spans="1:7" ht="15.75" x14ac:dyDescent="0.2">
      <c r="A20" s="338" t="s">
        <v>1081</v>
      </c>
      <c r="B20" s="338" t="s">
        <v>969</v>
      </c>
      <c r="C20" s="339" t="s">
        <v>155</v>
      </c>
      <c r="D20" s="341">
        <v>745</v>
      </c>
      <c r="E20" s="346" t="s">
        <v>66</v>
      </c>
      <c r="F20" s="347" t="s">
        <v>959</v>
      </c>
      <c r="G20" s="346"/>
    </row>
    <row r="21" spans="1:7" ht="15.75" x14ac:dyDescent="0.2">
      <c r="A21" s="338" t="s">
        <v>1082</v>
      </c>
      <c r="B21" s="338" t="s">
        <v>970</v>
      </c>
      <c r="C21" s="339" t="s">
        <v>155</v>
      </c>
      <c r="D21" s="341">
        <v>84</v>
      </c>
      <c r="E21" s="346" t="s">
        <v>66</v>
      </c>
      <c r="F21" s="347" t="s">
        <v>959</v>
      </c>
      <c r="G21" s="346"/>
    </row>
    <row r="22" spans="1:7" ht="15.75" x14ac:dyDescent="0.2">
      <c r="A22" s="338" t="s">
        <v>1083</v>
      </c>
      <c r="B22" s="338" t="s">
        <v>971</v>
      </c>
      <c r="C22" s="339" t="s">
        <v>155</v>
      </c>
      <c r="D22" s="341">
        <v>9022167.5199999996</v>
      </c>
      <c r="E22" s="346" t="s">
        <v>66</v>
      </c>
      <c r="F22" s="347" t="s">
        <v>959</v>
      </c>
      <c r="G22" s="346"/>
    </row>
    <row r="23" spans="1:7" ht="15.75" x14ac:dyDescent="0.2">
      <c r="A23" s="338" t="s">
        <v>1084</v>
      </c>
      <c r="B23" s="338" t="s">
        <v>990</v>
      </c>
      <c r="C23" s="339" t="s">
        <v>155</v>
      </c>
      <c r="D23" s="341">
        <v>4218.3599999999997</v>
      </c>
      <c r="E23" s="346" t="s">
        <v>66</v>
      </c>
      <c r="F23" s="347" t="s">
        <v>985</v>
      </c>
      <c r="G23" s="346"/>
    </row>
    <row r="24" spans="1:7" ht="15.75" x14ac:dyDescent="0.2">
      <c r="A24" s="338" t="s">
        <v>1085</v>
      </c>
      <c r="B24" s="338" t="s">
        <v>972</v>
      </c>
      <c r="C24" s="339" t="s">
        <v>155</v>
      </c>
      <c r="D24" s="341">
        <v>3729163.8</v>
      </c>
      <c r="E24" s="346" t="s">
        <v>66</v>
      </c>
      <c r="F24" s="347" t="s">
        <v>959</v>
      </c>
      <c r="G24" s="346"/>
    </row>
    <row r="25" spans="1:7" ht="15.75" x14ac:dyDescent="0.2">
      <c r="A25" s="338" t="s">
        <v>1086</v>
      </c>
      <c r="B25" s="338" t="s">
        <v>991</v>
      </c>
      <c r="C25" s="339" t="s">
        <v>155</v>
      </c>
      <c r="D25" s="341">
        <v>3176336.34</v>
      </c>
      <c r="E25" s="346" t="s">
        <v>66</v>
      </c>
      <c r="F25" s="347" t="s">
        <v>985</v>
      </c>
      <c r="G25" s="346"/>
    </row>
    <row r="26" spans="1:7" ht="15.75" x14ac:dyDescent="0.2">
      <c r="A26" s="338" t="s">
        <v>1087</v>
      </c>
      <c r="B26" s="338" t="s">
        <v>973</v>
      </c>
      <c r="C26" s="339" t="s">
        <v>155</v>
      </c>
      <c r="D26" s="341">
        <v>115019.88</v>
      </c>
      <c r="E26" s="346" t="s">
        <v>66</v>
      </c>
      <c r="F26" s="347" t="s">
        <v>959</v>
      </c>
      <c r="G26" s="346"/>
    </row>
    <row r="27" spans="1:7" ht="15.75" x14ac:dyDescent="0.2">
      <c r="A27" s="338" t="s">
        <v>1088</v>
      </c>
      <c r="B27" s="338" t="s">
        <v>974</v>
      </c>
      <c r="C27" s="339" t="s">
        <v>155</v>
      </c>
      <c r="D27" s="341">
        <v>24039.72</v>
      </c>
      <c r="E27" s="346" t="s">
        <v>66</v>
      </c>
      <c r="F27" s="347" t="s">
        <v>959</v>
      </c>
      <c r="G27" s="346"/>
    </row>
    <row r="28" spans="1:7" ht="15.75" x14ac:dyDescent="0.2">
      <c r="A28" s="338" t="s">
        <v>1089</v>
      </c>
      <c r="B28" s="338" t="s">
        <v>992</v>
      </c>
      <c r="C28" s="339" t="s">
        <v>155</v>
      </c>
      <c r="D28" s="341">
        <v>9639.31</v>
      </c>
      <c r="E28" s="346" t="s">
        <v>66</v>
      </c>
      <c r="F28" s="347" t="s">
        <v>985</v>
      </c>
      <c r="G28" s="346"/>
    </row>
    <row r="29" spans="1:7" ht="15.75" x14ac:dyDescent="0.2">
      <c r="A29" s="338" t="s">
        <v>1090</v>
      </c>
      <c r="B29" s="338" t="s">
        <v>993</v>
      </c>
      <c r="C29" s="339" t="s">
        <v>155</v>
      </c>
      <c r="D29" s="341">
        <v>177648.81</v>
      </c>
      <c r="E29" s="346" t="s">
        <v>66</v>
      </c>
      <c r="F29" s="347" t="s">
        <v>985</v>
      </c>
      <c r="G29" s="346"/>
    </row>
    <row r="30" spans="1:7" ht="15.75" x14ac:dyDescent="0.2">
      <c r="A30" s="338" t="s">
        <v>1091</v>
      </c>
      <c r="B30" s="338" t="s">
        <v>976</v>
      </c>
      <c r="C30" s="339" t="s">
        <v>155</v>
      </c>
      <c r="D30" s="341">
        <v>13.09</v>
      </c>
      <c r="E30" s="346" t="s">
        <v>66</v>
      </c>
      <c r="F30" s="347" t="s">
        <v>959</v>
      </c>
      <c r="G30" s="346"/>
    </row>
    <row r="31" spans="1:7" ht="15.75" x14ac:dyDescent="0.2">
      <c r="A31" s="338" t="s">
        <v>1092</v>
      </c>
      <c r="B31" s="338" t="s">
        <v>994</v>
      </c>
      <c r="C31" s="339" t="s">
        <v>155</v>
      </c>
      <c r="D31" s="341">
        <v>536.78</v>
      </c>
      <c r="E31" s="346" t="s">
        <v>66</v>
      </c>
      <c r="F31" s="347" t="s">
        <v>985</v>
      </c>
      <c r="G31" s="346"/>
    </row>
    <row r="32" spans="1:7" ht="15.75" x14ac:dyDescent="0.2">
      <c r="A32" s="338" t="s">
        <v>1093</v>
      </c>
      <c r="B32" s="338" t="s">
        <v>995</v>
      </c>
      <c r="C32" s="339" t="s">
        <v>155</v>
      </c>
      <c r="D32" s="341">
        <v>320.23</v>
      </c>
      <c r="E32" s="346" t="s">
        <v>66</v>
      </c>
      <c r="F32" s="347" t="s">
        <v>985</v>
      </c>
      <c r="G32" s="346"/>
    </row>
    <row r="33" spans="1:7" ht="15.75" x14ac:dyDescent="0.2">
      <c r="A33" s="338" t="s">
        <v>1094</v>
      </c>
      <c r="B33" s="338" t="s">
        <v>977</v>
      </c>
      <c r="C33" s="339" t="s">
        <v>155</v>
      </c>
      <c r="D33" s="341">
        <v>87392.5</v>
      </c>
      <c r="E33" s="346" t="s">
        <v>66</v>
      </c>
      <c r="F33" s="347" t="s">
        <v>959</v>
      </c>
      <c r="G33" s="346"/>
    </row>
    <row r="34" spans="1:7" ht="15.75" x14ac:dyDescent="0.2">
      <c r="A34" s="338" t="s">
        <v>1095</v>
      </c>
      <c r="B34" s="338" t="s">
        <v>996</v>
      </c>
      <c r="C34" s="339" t="s">
        <v>155</v>
      </c>
      <c r="D34" s="341">
        <v>411.56</v>
      </c>
      <c r="E34" s="346" t="s">
        <v>66</v>
      </c>
      <c r="F34" s="347" t="s">
        <v>985</v>
      </c>
      <c r="G34" s="346"/>
    </row>
    <row r="35" spans="1:7" ht="15.75" x14ac:dyDescent="0.2">
      <c r="A35" s="338" t="s">
        <v>1096</v>
      </c>
      <c r="B35" s="338" t="s">
        <v>978</v>
      </c>
      <c r="C35" s="339" t="s">
        <v>155</v>
      </c>
      <c r="D35" s="341">
        <v>9142923.4600000009</v>
      </c>
      <c r="E35" s="346" t="s">
        <v>66</v>
      </c>
      <c r="F35" s="347" t="s">
        <v>959</v>
      </c>
      <c r="G35" s="346"/>
    </row>
    <row r="36" spans="1:7" ht="15.75" x14ac:dyDescent="0.2">
      <c r="A36" s="338" t="s">
        <v>1097</v>
      </c>
      <c r="B36" s="338" t="s">
        <v>1004</v>
      </c>
      <c r="C36" s="339" t="s">
        <v>155</v>
      </c>
      <c r="D36" s="341">
        <v>18136.3</v>
      </c>
      <c r="E36" s="346" t="s">
        <v>66</v>
      </c>
      <c r="F36" s="347" t="s">
        <v>1003</v>
      </c>
      <c r="G36" s="346"/>
    </row>
    <row r="37" spans="1:7" ht="15.75" x14ac:dyDescent="0.2">
      <c r="A37" s="338" t="s">
        <v>1098</v>
      </c>
      <c r="B37" s="338" t="s">
        <v>980</v>
      </c>
      <c r="C37" s="339" t="s">
        <v>155</v>
      </c>
      <c r="D37" s="341">
        <v>2804524.39</v>
      </c>
      <c r="E37" s="346" t="s">
        <v>66</v>
      </c>
      <c r="F37" s="347" t="s">
        <v>959</v>
      </c>
      <c r="G37" s="346"/>
    </row>
    <row r="38" spans="1:7" ht="15.75" x14ac:dyDescent="0.2">
      <c r="A38" s="338" t="s">
        <v>1099</v>
      </c>
      <c r="B38" s="338" t="s">
        <v>981</v>
      </c>
      <c r="C38" s="339" t="s">
        <v>155</v>
      </c>
      <c r="D38" s="341">
        <v>5513960.5999999996</v>
      </c>
      <c r="E38" s="346" t="s">
        <v>66</v>
      </c>
      <c r="F38" s="347" t="s">
        <v>959</v>
      </c>
      <c r="G38" s="346"/>
    </row>
    <row r="39" spans="1:7" ht="15.75" x14ac:dyDescent="0.2">
      <c r="A39" s="338" t="s">
        <v>1100</v>
      </c>
      <c r="B39" s="338" t="s">
        <v>979</v>
      </c>
      <c r="C39" s="339" t="s">
        <v>155</v>
      </c>
      <c r="D39" s="341">
        <v>10579.73</v>
      </c>
      <c r="E39" s="346" t="s">
        <v>66</v>
      </c>
      <c r="F39" s="347" t="s">
        <v>959</v>
      </c>
      <c r="G39" s="346"/>
    </row>
    <row r="40" spans="1:7" ht="15.75" x14ac:dyDescent="0.2">
      <c r="A40" s="338" t="s">
        <v>1101</v>
      </c>
      <c r="B40" s="338" t="s">
        <v>1102</v>
      </c>
      <c r="C40" s="339" t="s">
        <v>155</v>
      </c>
      <c r="D40" s="341">
        <v>282139.71999999997</v>
      </c>
      <c r="E40" s="346" t="s">
        <v>241</v>
      </c>
      <c r="F40" s="347"/>
      <c r="G40" s="346"/>
    </row>
    <row r="41" spans="1:7" ht="15.75" x14ac:dyDescent="0.2">
      <c r="A41" s="338" t="s">
        <v>1103</v>
      </c>
      <c r="B41" s="338" t="s">
        <v>1005</v>
      </c>
      <c r="C41" s="339" t="s">
        <v>155</v>
      </c>
      <c r="D41" s="341">
        <v>803815.31</v>
      </c>
      <c r="E41" s="346" t="s">
        <v>66</v>
      </c>
      <c r="F41" s="347" t="s">
        <v>1003</v>
      </c>
      <c r="G41" s="346"/>
    </row>
    <row r="42" spans="1:7" ht="15.75" x14ac:dyDescent="0.2">
      <c r="A42" s="338" t="s">
        <v>1104</v>
      </c>
      <c r="B42" s="338" t="s">
        <v>1105</v>
      </c>
      <c r="C42" s="339" t="s">
        <v>155</v>
      </c>
      <c r="D42" s="341">
        <v>12223304.92</v>
      </c>
      <c r="E42" s="346" t="s">
        <v>241</v>
      </c>
      <c r="F42" s="347"/>
      <c r="G42" s="346"/>
    </row>
    <row r="43" spans="1:7" ht="15.75" x14ac:dyDescent="0.2">
      <c r="A43" s="338" t="s">
        <v>1106</v>
      </c>
      <c r="B43" s="338" t="s">
        <v>1107</v>
      </c>
      <c r="C43" s="339" t="s">
        <v>155</v>
      </c>
      <c r="D43" s="341">
        <v>34130.65</v>
      </c>
      <c r="E43" s="346" t="s">
        <v>1062</v>
      </c>
      <c r="F43" s="347"/>
      <c r="G43" s="346"/>
    </row>
    <row r="44" spans="1:7" ht="15.75" x14ac:dyDescent="0.2">
      <c r="A44" s="338" t="s">
        <v>1109</v>
      </c>
      <c r="B44" s="338" t="s">
        <v>1110</v>
      </c>
      <c r="C44" s="339" t="s">
        <v>155</v>
      </c>
      <c r="D44" s="341">
        <v>906681.79</v>
      </c>
      <c r="E44" s="346" t="s">
        <v>1062</v>
      </c>
      <c r="F44" s="347"/>
      <c r="G44" s="346"/>
    </row>
    <row r="45" spans="1:7" ht="15.75" x14ac:dyDescent="0.2">
      <c r="A45" s="338" t="s">
        <v>1142</v>
      </c>
      <c r="B45" s="338" t="s">
        <v>1143</v>
      </c>
      <c r="C45" s="339" t="s">
        <v>155</v>
      </c>
      <c r="D45" s="341">
        <v>16810128.399999999</v>
      </c>
      <c r="E45" s="346" t="s">
        <v>1062</v>
      </c>
      <c r="F45" s="347"/>
      <c r="G45" s="346"/>
    </row>
    <row r="46" spans="1:7" ht="15.75" x14ac:dyDescent="0.2">
      <c r="A46" s="338" t="s">
        <v>1150</v>
      </c>
      <c r="B46" s="338" t="s">
        <v>1006</v>
      </c>
      <c r="C46" s="339" t="s">
        <v>208</v>
      </c>
      <c r="D46" s="341">
        <v>45969.53</v>
      </c>
      <c r="E46" s="346" t="s">
        <v>66</v>
      </c>
      <c r="F46" s="347" t="s">
        <v>1003</v>
      </c>
      <c r="G46" s="346"/>
    </row>
    <row r="47" spans="1:7" ht="15.75" x14ac:dyDescent="0.2">
      <c r="A47" s="338" t="s">
        <v>1151</v>
      </c>
      <c r="B47" s="338" t="s">
        <v>1007</v>
      </c>
      <c r="C47" s="339" t="s">
        <v>208</v>
      </c>
      <c r="D47" s="341">
        <v>4596.95</v>
      </c>
      <c r="E47" s="346" t="s">
        <v>66</v>
      </c>
      <c r="F47" s="347" t="s">
        <v>1003</v>
      </c>
      <c r="G47" s="346"/>
    </row>
    <row r="48" spans="1:7" ht="15.75" x14ac:dyDescent="0.2">
      <c r="A48" s="338" t="s">
        <v>1154</v>
      </c>
      <c r="B48" s="338" t="s">
        <v>1155</v>
      </c>
      <c r="C48" s="339" t="s">
        <v>155</v>
      </c>
      <c r="D48" s="341">
        <v>1288581.8999999999</v>
      </c>
      <c r="E48" s="346" t="s">
        <v>1062</v>
      </c>
      <c r="F48" s="347"/>
      <c r="G48" s="346"/>
    </row>
    <row r="49" spans="1:7" ht="15.75" x14ac:dyDescent="0.2">
      <c r="A49" s="338" t="s">
        <v>1158</v>
      </c>
      <c r="B49" s="338" t="s">
        <v>1159</v>
      </c>
      <c r="C49" s="339" t="s">
        <v>155</v>
      </c>
      <c r="D49" s="341">
        <v>2177889.21</v>
      </c>
      <c r="E49" s="346" t="s">
        <v>1062</v>
      </c>
      <c r="F49" s="347"/>
      <c r="G49" s="346"/>
    </row>
    <row r="50" spans="1:7" ht="15.75" x14ac:dyDescent="0.2">
      <c r="A50" s="338" t="s">
        <v>1162</v>
      </c>
      <c r="B50" s="338" t="s">
        <v>982</v>
      </c>
      <c r="C50" s="339" t="s">
        <v>215</v>
      </c>
      <c r="D50" s="341">
        <v>2804524.39</v>
      </c>
      <c r="E50" s="346" t="s">
        <v>66</v>
      </c>
      <c r="F50" s="347" t="s">
        <v>959</v>
      </c>
      <c r="G50" s="346"/>
    </row>
    <row r="51" spans="1:7" ht="15.75" x14ac:dyDescent="0.2">
      <c r="A51" s="338" t="s">
        <v>1163</v>
      </c>
      <c r="B51" s="338" t="s">
        <v>983</v>
      </c>
      <c r="C51" s="339" t="s">
        <v>215</v>
      </c>
      <c r="D51" s="341">
        <v>2972397.51</v>
      </c>
      <c r="E51" s="346" t="s">
        <v>66</v>
      </c>
      <c r="F51" s="347" t="s">
        <v>959</v>
      </c>
      <c r="G51" s="346"/>
    </row>
    <row r="52" spans="1:7" ht="15.75" x14ac:dyDescent="0.2">
      <c r="A52" s="338" t="s">
        <v>1166</v>
      </c>
      <c r="B52" s="338" t="s">
        <v>1167</v>
      </c>
      <c r="C52" s="339" t="s">
        <v>155</v>
      </c>
      <c r="D52" s="341">
        <v>2186605.94</v>
      </c>
      <c r="E52" s="346" t="s">
        <v>1062</v>
      </c>
      <c r="F52" s="347"/>
      <c r="G52" s="346"/>
    </row>
    <row r="53" spans="1:7" ht="15.75" x14ac:dyDescent="0.2">
      <c r="A53" s="338" t="s">
        <v>1170</v>
      </c>
      <c r="B53" s="338" t="s">
        <v>1171</v>
      </c>
      <c r="C53" s="339" t="s">
        <v>155</v>
      </c>
      <c r="D53" s="341">
        <v>1466743.14</v>
      </c>
      <c r="E53" s="346" t="s">
        <v>241</v>
      </c>
      <c r="F53" s="347"/>
      <c r="G53" s="346"/>
    </row>
    <row r="54" spans="1:7" ht="15.75" x14ac:dyDescent="0.2">
      <c r="A54" s="338" t="s">
        <v>1172</v>
      </c>
      <c r="B54" s="338" t="s">
        <v>1173</v>
      </c>
      <c r="C54" s="339" t="s">
        <v>155</v>
      </c>
      <c r="D54" s="341">
        <v>4970062.2</v>
      </c>
      <c r="E54" s="346" t="s">
        <v>1062</v>
      </c>
      <c r="F54" s="347"/>
      <c r="G54" s="346"/>
    </row>
    <row r="55" spans="1:7" ht="15.75" x14ac:dyDescent="0.2">
      <c r="A55" s="338" t="s">
        <v>1176</v>
      </c>
      <c r="B55" s="338" t="s">
        <v>984</v>
      </c>
      <c r="C55" s="339" t="s">
        <v>215</v>
      </c>
      <c r="D55" s="341">
        <v>636644</v>
      </c>
      <c r="E55" s="346" t="s">
        <v>66</v>
      </c>
      <c r="F55" s="347" t="s">
        <v>959</v>
      </c>
      <c r="G55" s="346"/>
    </row>
    <row r="56" spans="1:7" ht="15.75" x14ac:dyDescent="0.2">
      <c r="A56" s="338" t="s">
        <v>1178</v>
      </c>
      <c r="B56" s="338" t="s">
        <v>1179</v>
      </c>
      <c r="C56" s="339" t="s">
        <v>155</v>
      </c>
      <c r="D56" s="341">
        <v>4388680.3099999996</v>
      </c>
      <c r="E56" s="346" t="s">
        <v>241</v>
      </c>
      <c r="F56" s="347"/>
      <c r="G56" s="346"/>
    </row>
    <row r="57" spans="1:7" ht="15.75" x14ac:dyDescent="0.2">
      <c r="A57" s="338" t="s">
        <v>1182</v>
      </c>
      <c r="B57" s="338" t="s">
        <v>1183</v>
      </c>
      <c r="C57" s="339" t="s">
        <v>155</v>
      </c>
      <c r="D57" s="341">
        <v>6549450.1299999999</v>
      </c>
      <c r="E57" s="346" t="s">
        <v>1062</v>
      </c>
      <c r="F57" s="347"/>
      <c r="G57" s="346"/>
    </row>
    <row r="58" spans="1:7" ht="15.75" x14ac:dyDescent="0.2">
      <c r="A58" s="338" t="s">
        <v>1186</v>
      </c>
      <c r="B58" s="338" t="s">
        <v>997</v>
      </c>
      <c r="C58" s="339" t="s">
        <v>215</v>
      </c>
      <c r="D58" s="341">
        <v>1904919.09</v>
      </c>
      <c r="E58" s="346" t="s">
        <v>66</v>
      </c>
      <c r="F58" s="347" t="s">
        <v>985</v>
      </c>
      <c r="G58" s="346"/>
    </row>
    <row r="59" spans="1:7" ht="15.75" x14ac:dyDescent="0.2">
      <c r="A59" s="338" t="s">
        <v>1188</v>
      </c>
      <c r="B59" s="338" t="s">
        <v>1189</v>
      </c>
      <c r="C59" s="339" t="s">
        <v>155</v>
      </c>
      <c r="D59" s="341">
        <v>937116.83</v>
      </c>
      <c r="E59" s="346" t="s">
        <v>1062</v>
      </c>
      <c r="F59" s="347"/>
      <c r="G59" s="346"/>
    </row>
    <row r="60" spans="1:7" ht="15.75" x14ac:dyDescent="0.2">
      <c r="A60" s="421"/>
      <c r="B60" s="421"/>
      <c r="C60" s="421"/>
      <c r="D60" s="342">
        <v>98890426.909999996</v>
      </c>
      <c r="E60" s="343"/>
      <c r="F60" s="345"/>
      <c r="G60" s="343"/>
    </row>
  </sheetData>
  <autoFilter ref="A5:G60" xr:uid="{C6F42151-75EA-42E5-804F-D627D954F100}"/>
  <mergeCells count="1">
    <mergeCell ref="A60:C60"/>
  </mergeCells>
  <pageMargins left="0.78740157499999996" right="0.78740157499999996" top="0.984251969" bottom="0.984251969" header="0.5" footer="0.5"/>
  <pageSetup paperSize="9" scale="10" firstPageNumber="0" fitToWidth="0" fitToHeight="0" pageOrder="overThenDown" orientation="portrait" horizontalDpi="300" verticalDpi="300" r:id="rId1"/>
  <headerFooter alignWithMargins="0"/>
  <ignoredErrors>
    <ignoredError sqref="D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E79D-277A-4165-88F1-9F1A9027AE20}">
  <dimension ref="B2:I60"/>
  <sheetViews>
    <sheetView topLeftCell="B28" zoomScale="115" zoomScaleNormal="115" workbookViewId="0">
      <selection activeCell="H38" sqref="H38"/>
    </sheetView>
  </sheetViews>
  <sheetFormatPr defaultRowHeight="15" x14ac:dyDescent="0.25"/>
  <cols>
    <col min="1" max="1" width="9.140625" style="62"/>
    <col min="2" max="2" width="17.28515625" style="62" customWidth="1"/>
    <col min="3" max="3" width="13.42578125" style="62" customWidth="1"/>
    <col min="4" max="4" width="43.42578125" style="62" customWidth="1"/>
    <col min="5" max="5" width="19.42578125" style="95" customWidth="1"/>
    <col min="6" max="6" width="21.28515625" style="62" bestFit="1" customWidth="1"/>
    <col min="7" max="7" width="5.5703125" style="62" customWidth="1"/>
    <col min="8" max="8" width="20.5703125" style="62" customWidth="1"/>
    <col min="9" max="9" width="20.7109375" style="62" bestFit="1" customWidth="1"/>
    <col min="10" max="249" width="9.140625" style="62"/>
    <col min="250" max="250" width="12.5703125" style="62" customWidth="1"/>
    <col min="251" max="251" width="27.7109375" style="62" customWidth="1"/>
    <col min="252" max="252" width="15.28515625" style="62" bestFit="1" customWidth="1"/>
    <col min="253" max="253" width="5.7109375" style="62" customWidth="1"/>
    <col min="254" max="254" width="42.7109375" style="62" customWidth="1"/>
    <col min="255" max="255" width="17.7109375" style="62" customWidth="1"/>
    <col min="256" max="256" width="17.5703125" style="62" customWidth="1"/>
    <col min="257" max="257" width="9.140625" style="62"/>
    <col min="258" max="258" width="17.28515625" style="62" customWidth="1"/>
    <col min="259" max="259" width="13.42578125" style="62" customWidth="1"/>
    <col min="260" max="260" width="30.7109375" style="62" customWidth="1"/>
    <col min="261" max="261" width="19.42578125" style="62" customWidth="1"/>
    <col min="262" max="262" width="21.28515625" style="62" bestFit="1" customWidth="1"/>
    <col min="263" max="263" width="9.140625" style="62"/>
    <col min="264" max="264" width="16.85546875" style="62" bestFit="1" customWidth="1"/>
    <col min="265" max="505" width="9.140625" style="62"/>
    <col min="506" max="506" width="12.5703125" style="62" customWidth="1"/>
    <col min="507" max="507" width="27.7109375" style="62" customWidth="1"/>
    <col min="508" max="508" width="15.28515625" style="62" bestFit="1" customWidth="1"/>
    <col min="509" max="509" width="5.7109375" style="62" customWidth="1"/>
    <col min="510" max="510" width="42.7109375" style="62" customWidth="1"/>
    <col min="511" max="511" width="17.7109375" style="62" customWidth="1"/>
    <col min="512" max="512" width="17.5703125" style="62" customWidth="1"/>
    <col min="513" max="513" width="9.140625" style="62"/>
    <col min="514" max="514" width="17.28515625" style="62" customWidth="1"/>
    <col min="515" max="515" width="13.42578125" style="62" customWidth="1"/>
    <col min="516" max="516" width="30.7109375" style="62" customWidth="1"/>
    <col min="517" max="517" width="19.42578125" style="62" customWidth="1"/>
    <col min="518" max="518" width="21.28515625" style="62" bestFit="1" customWidth="1"/>
    <col min="519" max="519" width="9.140625" style="62"/>
    <col min="520" max="520" width="16.85546875" style="62" bestFit="1" customWidth="1"/>
    <col min="521" max="761" width="9.140625" style="62"/>
    <col min="762" max="762" width="12.5703125" style="62" customWidth="1"/>
    <col min="763" max="763" width="27.7109375" style="62" customWidth="1"/>
    <col min="764" max="764" width="15.28515625" style="62" bestFit="1" customWidth="1"/>
    <col min="765" max="765" width="5.7109375" style="62" customWidth="1"/>
    <col min="766" max="766" width="42.7109375" style="62" customWidth="1"/>
    <col min="767" max="767" width="17.7109375" style="62" customWidth="1"/>
    <col min="768" max="768" width="17.5703125" style="62" customWidth="1"/>
    <col min="769" max="769" width="9.140625" style="62"/>
    <col min="770" max="770" width="17.28515625" style="62" customWidth="1"/>
    <col min="771" max="771" width="13.42578125" style="62" customWidth="1"/>
    <col min="772" max="772" width="30.7109375" style="62" customWidth="1"/>
    <col min="773" max="773" width="19.42578125" style="62" customWidth="1"/>
    <col min="774" max="774" width="21.28515625" style="62" bestFit="1" customWidth="1"/>
    <col min="775" max="775" width="9.140625" style="62"/>
    <col min="776" max="776" width="16.85546875" style="62" bestFit="1" customWidth="1"/>
    <col min="777" max="1017" width="9.140625" style="62"/>
    <col min="1018" max="1018" width="12.5703125" style="62" customWidth="1"/>
    <col min="1019" max="1019" width="27.7109375" style="62" customWidth="1"/>
    <col min="1020" max="1020" width="15.28515625" style="62" bestFit="1" customWidth="1"/>
    <col min="1021" max="1021" width="5.7109375" style="62" customWidth="1"/>
    <col min="1022" max="1022" width="42.7109375" style="62" customWidth="1"/>
    <col min="1023" max="1023" width="17.7109375" style="62" customWidth="1"/>
    <col min="1024" max="1024" width="17.5703125" style="62" customWidth="1"/>
    <col min="1025" max="1025" width="9.140625" style="62"/>
    <col min="1026" max="1026" width="17.28515625" style="62" customWidth="1"/>
    <col min="1027" max="1027" width="13.42578125" style="62" customWidth="1"/>
    <col min="1028" max="1028" width="30.7109375" style="62" customWidth="1"/>
    <col min="1029" max="1029" width="19.42578125" style="62" customWidth="1"/>
    <col min="1030" max="1030" width="21.28515625" style="62" bestFit="1" customWidth="1"/>
    <col min="1031" max="1031" width="9.140625" style="62"/>
    <col min="1032" max="1032" width="16.85546875" style="62" bestFit="1" customWidth="1"/>
    <col min="1033" max="1273" width="9.140625" style="62"/>
    <col min="1274" max="1274" width="12.5703125" style="62" customWidth="1"/>
    <col min="1275" max="1275" width="27.7109375" style="62" customWidth="1"/>
    <col min="1276" max="1276" width="15.28515625" style="62" bestFit="1" customWidth="1"/>
    <col min="1277" max="1277" width="5.7109375" style="62" customWidth="1"/>
    <col min="1278" max="1278" width="42.7109375" style="62" customWidth="1"/>
    <col min="1279" max="1279" width="17.7109375" style="62" customWidth="1"/>
    <col min="1280" max="1280" width="17.5703125" style="62" customWidth="1"/>
    <col min="1281" max="1281" width="9.140625" style="62"/>
    <col min="1282" max="1282" width="17.28515625" style="62" customWidth="1"/>
    <col min="1283" max="1283" width="13.42578125" style="62" customWidth="1"/>
    <col min="1284" max="1284" width="30.7109375" style="62" customWidth="1"/>
    <col min="1285" max="1285" width="19.42578125" style="62" customWidth="1"/>
    <col min="1286" max="1286" width="21.28515625" style="62" bestFit="1" customWidth="1"/>
    <col min="1287" max="1287" width="9.140625" style="62"/>
    <col min="1288" max="1288" width="16.85546875" style="62" bestFit="1" customWidth="1"/>
    <col min="1289" max="1529" width="9.140625" style="62"/>
    <col min="1530" max="1530" width="12.5703125" style="62" customWidth="1"/>
    <col min="1531" max="1531" width="27.7109375" style="62" customWidth="1"/>
    <col min="1532" max="1532" width="15.28515625" style="62" bestFit="1" customWidth="1"/>
    <col min="1533" max="1533" width="5.7109375" style="62" customWidth="1"/>
    <col min="1534" max="1534" width="42.7109375" style="62" customWidth="1"/>
    <col min="1535" max="1535" width="17.7109375" style="62" customWidth="1"/>
    <col min="1536" max="1536" width="17.5703125" style="62" customWidth="1"/>
    <col min="1537" max="1537" width="9.140625" style="62"/>
    <col min="1538" max="1538" width="17.28515625" style="62" customWidth="1"/>
    <col min="1539" max="1539" width="13.42578125" style="62" customWidth="1"/>
    <col min="1540" max="1540" width="30.7109375" style="62" customWidth="1"/>
    <col min="1541" max="1541" width="19.42578125" style="62" customWidth="1"/>
    <col min="1542" max="1542" width="21.28515625" style="62" bestFit="1" customWidth="1"/>
    <col min="1543" max="1543" width="9.140625" style="62"/>
    <col min="1544" max="1544" width="16.85546875" style="62" bestFit="1" customWidth="1"/>
    <col min="1545" max="1785" width="9.140625" style="62"/>
    <col min="1786" max="1786" width="12.5703125" style="62" customWidth="1"/>
    <col min="1787" max="1787" width="27.7109375" style="62" customWidth="1"/>
    <col min="1788" max="1788" width="15.28515625" style="62" bestFit="1" customWidth="1"/>
    <col min="1789" max="1789" width="5.7109375" style="62" customWidth="1"/>
    <col min="1790" max="1790" width="42.7109375" style="62" customWidth="1"/>
    <col min="1791" max="1791" width="17.7109375" style="62" customWidth="1"/>
    <col min="1792" max="1792" width="17.5703125" style="62" customWidth="1"/>
    <col min="1793" max="1793" width="9.140625" style="62"/>
    <col min="1794" max="1794" width="17.28515625" style="62" customWidth="1"/>
    <col min="1795" max="1795" width="13.42578125" style="62" customWidth="1"/>
    <col min="1796" max="1796" width="30.7109375" style="62" customWidth="1"/>
    <col min="1797" max="1797" width="19.42578125" style="62" customWidth="1"/>
    <col min="1798" max="1798" width="21.28515625" style="62" bestFit="1" customWidth="1"/>
    <col min="1799" max="1799" width="9.140625" style="62"/>
    <col min="1800" max="1800" width="16.85546875" style="62" bestFit="1" customWidth="1"/>
    <col min="1801" max="2041" width="9.140625" style="62"/>
    <col min="2042" max="2042" width="12.5703125" style="62" customWidth="1"/>
    <col min="2043" max="2043" width="27.7109375" style="62" customWidth="1"/>
    <col min="2044" max="2044" width="15.28515625" style="62" bestFit="1" customWidth="1"/>
    <col min="2045" max="2045" width="5.7109375" style="62" customWidth="1"/>
    <col min="2046" max="2046" width="42.7109375" style="62" customWidth="1"/>
    <col min="2047" max="2047" width="17.7109375" style="62" customWidth="1"/>
    <col min="2048" max="2048" width="17.5703125" style="62" customWidth="1"/>
    <col min="2049" max="2049" width="9.140625" style="62"/>
    <col min="2050" max="2050" width="17.28515625" style="62" customWidth="1"/>
    <col min="2051" max="2051" width="13.42578125" style="62" customWidth="1"/>
    <col min="2052" max="2052" width="30.7109375" style="62" customWidth="1"/>
    <col min="2053" max="2053" width="19.42578125" style="62" customWidth="1"/>
    <col min="2054" max="2054" width="21.28515625" style="62" bestFit="1" customWidth="1"/>
    <col min="2055" max="2055" width="9.140625" style="62"/>
    <col min="2056" max="2056" width="16.85546875" style="62" bestFit="1" customWidth="1"/>
    <col min="2057" max="2297" width="9.140625" style="62"/>
    <col min="2298" max="2298" width="12.5703125" style="62" customWidth="1"/>
    <col min="2299" max="2299" width="27.7109375" style="62" customWidth="1"/>
    <col min="2300" max="2300" width="15.28515625" style="62" bestFit="1" customWidth="1"/>
    <col min="2301" max="2301" width="5.7109375" style="62" customWidth="1"/>
    <col min="2302" max="2302" width="42.7109375" style="62" customWidth="1"/>
    <col min="2303" max="2303" width="17.7109375" style="62" customWidth="1"/>
    <col min="2304" max="2304" width="17.5703125" style="62" customWidth="1"/>
    <col min="2305" max="2305" width="9.140625" style="62"/>
    <col min="2306" max="2306" width="17.28515625" style="62" customWidth="1"/>
    <col min="2307" max="2307" width="13.42578125" style="62" customWidth="1"/>
    <col min="2308" max="2308" width="30.7109375" style="62" customWidth="1"/>
    <col min="2309" max="2309" width="19.42578125" style="62" customWidth="1"/>
    <col min="2310" max="2310" width="21.28515625" style="62" bestFit="1" customWidth="1"/>
    <col min="2311" max="2311" width="9.140625" style="62"/>
    <col min="2312" max="2312" width="16.85546875" style="62" bestFit="1" customWidth="1"/>
    <col min="2313" max="2553" width="9.140625" style="62"/>
    <col min="2554" max="2554" width="12.5703125" style="62" customWidth="1"/>
    <col min="2555" max="2555" width="27.7109375" style="62" customWidth="1"/>
    <col min="2556" max="2556" width="15.28515625" style="62" bestFit="1" customWidth="1"/>
    <col min="2557" max="2557" width="5.7109375" style="62" customWidth="1"/>
    <col min="2558" max="2558" width="42.7109375" style="62" customWidth="1"/>
    <col min="2559" max="2559" width="17.7109375" style="62" customWidth="1"/>
    <col min="2560" max="2560" width="17.5703125" style="62" customWidth="1"/>
    <col min="2561" max="2561" width="9.140625" style="62"/>
    <col min="2562" max="2562" width="17.28515625" style="62" customWidth="1"/>
    <col min="2563" max="2563" width="13.42578125" style="62" customWidth="1"/>
    <col min="2564" max="2564" width="30.7109375" style="62" customWidth="1"/>
    <col min="2565" max="2565" width="19.42578125" style="62" customWidth="1"/>
    <col min="2566" max="2566" width="21.28515625" style="62" bestFit="1" customWidth="1"/>
    <col min="2567" max="2567" width="9.140625" style="62"/>
    <col min="2568" max="2568" width="16.85546875" style="62" bestFit="1" customWidth="1"/>
    <col min="2569" max="2809" width="9.140625" style="62"/>
    <col min="2810" max="2810" width="12.5703125" style="62" customWidth="1"/>
    <col min="2811" max="2811" width="27.7109375" style="62" customWidth="1"/>
    <col min="2812" max="2812" width="15.28515625" style="62" bestFit="1" customWidth="1"/>
    <col min="2813" max="2813" width="5.7109375" style="62" customWidth="1"/>
    <col min="2814" max="2814" width="42.7109375" style="62" customWidth="1"/>
    <col min="2815" max="2815" width="17.7109375" style="62" customWidth="1"/>
    <col min="2816" max="2816" width="17.5703125" style="62" customWidth="1"/>
    <col min="2817" max="2817" width="9.140625" style="62"/>
    <col min="2818" max="2818" width="17.28515625" style="62" customWidth="1"/>
    <col min="2819" max="2819" width="13.42578125" style="62" customWidth="1"/>
    <col min="2820" max="2820" width="30.7109375" style="62" customWidth="1"/>
    <col min="2821" max="2821" width="19.42578125" style="62" customWidth="1"/>
    <col min="2822" max="2822" width="21.28515625" style="62" bestFit="1" customWidth="1"/>
    <col min="2823" max="2823" width="9.140625" style="62"/>
    <col min="2824" max="2824" width="16.85546875" style="62" bestFit="1" customWidth="1"/>
    <col min="2825" max="3065" width="9.140625" style="62"/>
    <col min="3066" max="3066" width="12.5703125" style="62" customWidth="1"/>
    <col min="3067" max="3067" width="27.7109375" style="62" customWidth="1"/>
    <col min="3068" max="3068" width="15.28515625" style="62" bestFit="1" customWidth="1"/>
    <col min="3069" max="3069" width="5.7109375" style="62" customWidth="1"/>
    <col min="3070" max="3070" width="42.7109375" style="62" customWidth="1"/>
    <col min="3071" max="3071" width="17.7109375" style="62" customWidth="1"/>
    <col min="3072" max="3072" width="17.5703125" style="62" customWidth="1"/>
    <col min="3073" max="3073" width="9.140625" style="62"/>
    <col min="3074" max="3074" width="17.28515625" style="62" customWidth="1"/>
    <col min="3075" max="3075" width="13.42578125" style="62" customWidth="1"/>
    <col min="3076" max="3076" width="30.7109375" style="62" customWidth="1"/>
    <col min="3077" max="3077" width="19.42578125" style="62" customWidth="1"/>
    <col min="3078" max="3078" width="21.28515625" style="62" bestFit="1" customWidth="1"/>
    <col min="3079" max="3079" width="9.140625" style="62"/>
    <col min="3080" max="3080" width="16.85546875" style="62" bestFit="1" customWidth="1"/>
    <col min="3081" max="3321" width="9.140625" style="62"/>
    <col min="3322" max="3322" width="12.5703125" style="62" customWidth="1"/>
    <col min="3323" max="3323" width="27.7109375" style="62" customWidth="1"/>
    <col min="3324" max="3324" width="15.28515625" style="62" bestFit="1" customWidth="1"/>
    <col min="3325" max="3325" width="5.7109375" style="62" customWidth="1"/>
    <col min="3326" max="3326" width="42.7109375" style="62" customWidth="1"/>
    <col min="3327" max="3327" width="17.7109375" style="62" customWidth="1"/>
    <col min="3328" max="3328" width="17.5703125" style="62" customWidth="1"/>
    <col min="3329" max="3329" width="9.140625" style="62"/>
    <col min="3330" max="3330" width="17.28515625" style="62" customWidth="1"/>
    <col min="3331" max="3331" width="13.42578125" style="62" customWidth="1"/>
    <col min="3332" max="3332" width="30.7109375" style="62" customWidth="1"/>
    <col min="3333" max="3333" width="19.42578125" style="62" customWidth="1"/>
    <col min="3334" max="3334" width="21.28515625" style="62" bestFit="1" customWidth="1"/>
    <col min="3335" max="3335" width="9.140625" style="62"/>
    <col min="3336" max="3336" width="16.85546875" style="62" bestFit="1" customWidth="1"/>
    <col min="3337" max="3577" width="9.140625" style="62"/>
    <col min="3578" max="3578" width="12.5703125" style="62" customWidth="1"/>
    <col min="3579" max="3579" width="27.7109375" style="62" customWidth="1"/>
    <col min="3580" max="3580" width="15.28515625" style="62" bestFit="1" customWidth="1"/>
    <col min="3581" max="3581" width="5.7109375" style="62" customWidth="1"/>
    <col min="3582" max="3582" width="42.7109375" style="62" customWidth="1"/>
    <col min="3583" max="3583" width="17.7109375" style="62" customWidth="1"/>
    <col min="3584" max="3584" width="17.5703125" style="62" customWidth="1"/>
    <col min="3585" max="3585" width="9.140625" style="62"/>
    <col min="3586" max="3586" width="17.28515625" style="62" customWidth="1"/>
    <col min="3587" max="3587" width="13.42578125" style="62" customWidth="1"/>
    <col min="3588" max="3588" width="30.7109375" style="62" customWidth="1"/>
    <col min="3589" max="3589" width="19.42578125" style="62" customWidth="1"/>
    <col min="3590" max="3590" width="21.28515625" style="62" bestFit="1" customWidth="1"/>
    <col min="3591" max="3591" width="9.140625" style="62"/>
    <col min="3592" max="3592" width="16.85546875" style="62" bestFit="1" customWidth="1"/>
    <col min="3593" max="3833" width="9.140625" style="62"/>
    <col min="3834" max="3834" width="12.5703125" style="62" customWidth="1"/>
    <col min="3835" max="3835" width="27.7109375" style="62" customWidth="1"/>
    <col min="3836" max="3836" width="15.28515625" style="62" bestFit="1" customWidth="1"/>
    <col min="3837" max="3837" width="5.7109375" style="62" customWidth="1"/>
    <col min="3838" max="3838" width="42.7109375" style="62" customWidth="1"/>
    <col min="3839" max="3839" width="17.7109375" style="62" customWidth="1"/>
    <col min="3840" max="3840" width="17.5703125" style="62" customWidth="1"/>
    <col min="3841" max="3841" width="9.140625" style="62"/>
    <col min="3842" max="3842" width="17.28515625" style="62" customWidth="1"/>
    <col min="3843" max="3843" width="13.42578125" style="62" customWidth="1"/>
    <col min="3844" max="3844" width="30.7109375" style="62" customWidth="1"/>
    <col min="3845" max="3845" width="19.42578125" style="62" customWidth="1"/>
    <col min="3846" max="3846" width="21.28515625" style="62" bestFit="1" customWidth="1"/>
    <col min="3847" max="3847" width="9.140625" style="62"/>
    <col min="3848" max="3848" width="16.85546875" style="62" bestFit="1" customWidth="1"/>
    <col min="3849" max="4089" width="9.140625" style="62"/>
    <col min="4090" max="4090" width="12.5703125" style="62" customWidth="1"/>
    <col min="4091" max="4091" width="27.7109375" style="62" customWidth="1"/>
    <col min="4092" max="4092" width="15.28515625" style="62" bestFit="1" customWidth="1"/>
    <col min="4093" max="4093" width="5.7109375" style="62" customWidth="1"/>
    <col min="4094" max="4094" width="42.7109375" style="62" customWidth="1"/>
    <col min="4095" max="4095" width="17.7109375" style="62" customWidth="1"/>
    <col min="4096" max="4096" width="17.5703125" style="62" customWidth="1"/>
    <col min="4097" max="4097" width="9.140625" style="62"/>
    <col min="4098" max="4098" width="17.28515625" style="62" customWidth="1"/>
    <col min="4099" max="4099" width="13.42578125" style="62" customWidth="1"/>
    <col min="4100" max="4100" width="30.7109375" style="62" customWidth="1"/>
    <col min="4101" max="4101" width="19.42578125" style="62" customWidth="1"/>
    <col min="4102" max="4102" width="21.28515625" style="62" bestFit="1" customWidth="1"/>
    <col min="4103" max="4103" width="9.140625" style="62"/>
    <col min="4104" max="4104" width="16.85546875" style="62" bestFit="1" customWidth="1"/>
    <col min="4105" max="4345" width="9.140625" style="62"/>
    <col min="4346" max="4346" width="12.5703125" style="62" customWidth="1"/>
    <col min="4347" max="4347" width="27.7109375" style="62" customWidth="1"/>
    <col min="4348" max="4348" width="15.28515625" style="62" bestFit="1" customWidth="1"/>
    <col min="4349" max="4349" width="5.7109375" style="62" customWidth="1"/>
    <col min="4350" max="4350" width="42.7109375" style="62" customWidth="1"/>
    <col min="4351" max="4351" width="17.7109375" style="62" customWidth="1"/>
    <col min="4352" max="4352" width="17.5703125" style="62" customWidth="1"/>
    <col min="4353" max="4353" width="9.140625" style="62"/>
    <col min="4354" max="4354" width="17.28515625" style="62" customWidth="1"/>
    <col min="4355" max="4355" width="13.42578125" style="62" customWidth="1"/>
    <col min="4356" max="4356" width="30.7109375" style="62" customWidth="1"/>
    <col min="4357" max="4357" width="19.42578125" style="62" customWidth="1"/>
    <col min="4358" max="4358" width="21.28515625" style="62" bestFit="1" customWidth="1"/>
    <col min="4359" max="4359" width="9.140625" style="62"/>
    <col min="4360" max="4360" width="16.85546875" style="62" bestFit="1" customWidth="1"/>
    <col min="4361" max="4601" width="9.140625" style="62"/>
    <col min="4602" max="4602" width="12.5703125" style="62" customWidth="1"/>
    <col min="4603" max="4603" width="27.7109375" style="62" customWidth="1"/>
    <col min="4604" max="4604" width="15.28515625" style="62" bestFit="1" customWidth="1"/>
    <col min="4605" max="4605" width="5.7109375" style="62" customWidth="1"/>
    <col min="4606" max="4606" width="42.7109375" style="62" customWidth="1"/>
    <col min="4607" max="4607" width="17.7109375" style="62" customWidth="1"/>
    <col min="4608" max="4608" width="17.5703125" style="62" customWidth="1"/>
    <col min="4609" max="4609" width="9.140625" style="62"/>
    <col min="4610" max="4610" width="17.28515625" style="62" customWidth="1"/>
    <col min="4611" max="4611" width="13.42578125" style="62" customWidth="1"/>
    <col min="4612" max="4612" width="30.7109375" style="62" customWidth="1"/>
    <col min="4613" max="4613" width="19.42578125" style="62" customWidth="1"/>
    <col min="4614" max="4614" width="21.28515625" style="62" bestFit="1" customWidth="1"/>
    <col min="4615" max="4615" width="9.140625" style="62"/>
    <col min="4616" max="4616" width="16.85546875" style="62" bestFit="1" customWidth="1"/>
    <col min="4617" max="4857" width="9.140625" style="62"/>
    <col min="4858" max="4858" width="12.5703125" style="62" customWidth="1"/>
    <col min="4859" max="4859" width="27.7109375" style="62" customWidth="1"/>
    <col min="4860" max="4860" width="15.28515625" style="62" bestFit="1" customWidth="1"/>
    <col min="4861" max="4861" width="5.7109375" style="62" customWidth="1"/>
    <col min="4862" max="4862" width="42.7109375" style="62" customWidth="1"/>
    <col min="4863" max="4863" width="17.7109375" style="62" customWidth="1"/>
    <col min="4864" max="4864" width="17.5703125" style="62" customWidth="1"/>
    <col min="4865" max="4865" width="9.140625" style="62"/>
    <col min="4866" max="4866" width="17.28515625" style="62" customWidth="1"/>
    <col min="4867" max="4867" width="13.42578125" style="62" customWidth="1"/>
    <col min="4868" max="4868" width="30.7109375" style="62" customWidth="1"/>
    <col min="4869" max="4869" width="19.42578125" style="62" customWidth="1"/>
    <col min="4870" max="4870" width="21.28515625" style="62" bestFit="1" customWidth="1"/>
    <col min="4871" max="4871" width="9.140625" style="62"/>
    <col min="4872" max="4872" width="16.85546875" style="62" bestFit="1" customWidth="1"/>
    <col min="4873" max="5113" width="9.140625" style="62"/>
    <col min="5114" max="5114" width="12.5703125" style="62" customWidth="1"/>
    <col min="5115" max="5115" width="27.7109375" style="62" customWidth="1"/>
    <col min="5116" max="5116" width="15.28515625" style="62" bestFit="1" customWidth="1"/>
    <col min="5117" max="5117" width="5.7109375" style="62" customWidth="1"/>
    <col min="5118" max="5118" width="42.7109375" style="62" customWidth="1"/>
    <col min="5119" max="5119" width="17.7109375" style="62" customWidth="1"/>
    <col min="5120" max="5120" width="17.5703125" style="62" customWidth="1"/>
    <col min="5121" max="5121" width="9.140625" style="62"/>
    <col min="5122" max="5122" width="17.28515625" style="62" customWidth="1"/>
    <col min="5123" max="5123" width="13.42578125" style="62" customWidth="1"/>
    <col min="5124" max="5124" width="30.7109375" style="62" customWidth="1"/>
    <col min="5125" max="5125" width="19.42578125" style="62" customWidth="1"/>
    <col min="5126" max="5126" width="21.28515625" style="62" bestFit="1" customWidth="1"/>
    <col min="5127" max="5127" width="9.140625" style="62"/>
    <col min="5128" max="5128" width="16.85546875" style="62" bestFit="1" customWidth="1"/>
    <col min="5129" max="5369" width="9.140625" style="62"/>
    <col min="5370" max="5370" width="12.5703125" style="62" customWidth="1"/>
    <col min="5371" max="5371" width="27.7109375" style="62" customWidth="1"/>
    <col min="5372" max="5372" width="15.28515625" style="62" bestFit="1" customWidth="1"/>
    <col min="5373" max="5373" width="5.7109375" style="62" customWidth="1"/>
    <col min="5374" max="5374" width="42.7109375" style="62" customWidth="1"/>
    <col min="5375" max="5375" width="17.7109375" style="62" customWidth="1"/>
    <col min="5376" max="5376" width="17.5703125" style="62" customWidth="1"/>
    <col min="5377" max="5377" width="9.140625" style="62"/>
    <col min="5378" max="5378" width="17.28515625" style="62" customWidth="1"/>
    <col min="5379" max="5379" width="13.42578125" style="62" customWidth="1"/>
    <col min="5380" max="5380" width="30.7109375" style="62" customWidth="1"/>
    <col min="5381" max="5381" width="19.42578125" style="62" customWidth="1"/>
    <col min="5382" max="5382" width="21.28515625" style="62" bestFit="1" customWidth="1"/>
    <col min="5383" max="5383" width="9.140625" style="62"/>
    <col min="5384" max="5384" width="16.85546875" style="62" bestFit="1" customWidth="1"/>
    <col min="5385" max="5625" width="9.140625" style="62"/>
    <col min="5626" max="5626" width="12.5703125" style="62" customWidth="1"/>
    <col min="5627" max="5627" width="27.7109375" style="62" customWidth="1"/>
    <col min="5628" max="5628" width="15.28515625" style="62" bestFit="1" customWidth="1"/>
    <col min="5629" max="5629" width="5.7109375" style="62" customWidth="1"/>
    <col min="5630" max="5630" width="42.7109375" style="62" customWidth="1"/>
    <col min="5631" max="5631" width="17.7109375" style="62" customWidth="1"/>
    <col min="5632" max="5632" width="17.5703125" style="62" customWidth="1"/>
    <col min="5633" max="5633" width="9.140625" style="62"/>
    <col min="5634" max="5634" width="17.28515625" style="62" customWidth="1"/>
    <col min="5635" max="5635" width="13.42578125" style="62" customWidth="1"/>
    <col min="5636" max="5636" width="30.7109375" style="62" customWidth="1"/>
    <col min="5637" max="5637" width="19.42578125" style="62" customWidth="1"/>
    <col min="5638" max="5638" width="21.28515625" style="62" bestFit="1" customWidth="1"/>
    <col min="5639" max="5639" width="9.140625" style="62"/>
    <col min="5640" max="5640" width="16.85546875" style="62" bestFit="1" customWidth="1"/>
    <col min="5641" max="5881" width="9.140625" style="62"/>
    <col min="5882" max="5882" width="12.5703125" style="62" customWidth="1"/>
    <col min="5883" max="5883" width="27.7109375" style="62" customWidth="1"/>
    <col min="5884" max="5884" width="15.28515625" style="62" bestFit="1" customWidth="1"/>
    <col min="5885" max="5885" width="5.7109375" style="62" customWidth="1"/>
    <col min="5886" max="5886" width="42.7109375" style="62" customWidth="1"/>
    <col min="5887" max="5887" width="17.7109375" style="62" customWidth="1"/>
    <col min="5888" max="5888" width="17.5703125" style="62" customWidth="1"/>
    <col min="5889" max="5889" width="9.140625" style="62"/>
    <col min="5890" max="5890" width="17.28515625" style="62" customWidth="1"/>
    <col min="5891" max="5891" width="13.42578125" style="62" customWidth="1"/>
    <col min="5892" max="5892" width="30.7109375" style="62" customWidth="1"/>
    <col min="5893" max="5893" width="19.42578125" style="62" customWidth="1"/>
    <col min="5894" max="5894" width="21.28515625" style="62" bestFit="1" customWidth="1"/>
    <col min="5895" max="5895" width="9.140625" style="62"/>
    <col min="5896" max="5896" width="16.85546875" style="62" bestFit="1" customWidth="1"/>
    <col min="5897" max="6137" width="9.140625" style="62"/>
    <col min="6138" max="6138" width="12.5703125" style="62" customWidth="1"/>
    <col min="6139" max="6139" width="27.7109375" style="62" customWidth="1"/>
    <col min="6140" max="6140" width="15.28515625" style="62" bestFit="1" customWidth="1"/>
    <col min="6141" max="6141" width="5.7109375" style="62" customWidth="1"/>
    <col min="6142" max="6142" width="42.7109375" style="62" customWidth="1"/>
    <col min="6143" max="6143" width="17.7109375" style="62" customWidth="1"/>
    <col min="6144" max="6144" width="17.5703125" style="62" customWidth="1"/>
    <col min="6145" max="6145" width="9.140625" style="62"/>
    <col min="6146" max="6146" width="17.28515625" style="62" customWidth="1"/>
    <col min="6147" max="6147" width="13.42578125" style="62" customWidth="1"/>
    <col min="6148" max="6148" width="30.7109375" style="62" customWidth="1"/>
    <col min="6149" max="6149" width="19.42578125" style="62" customWidth="1"/>
    <col min="6150" max="6150" width="21.28515625" style="62" bestFit="1" customWidth="1"/>
    <col min="6151" max="6151" width="9.140625" style="62"/>
    <col min="6152" max="6152" width="16.85546875" style="62" bestFit="1" customWidth="1"/>
    <col min="6153" max="6393" width="9.140625" style="62"/>
    <col min="6394" max="6394" width="12.5703125" style="62" customWidth="1"/>
    <col min="6395" max="6395" width="27.7109375" style="62" customWidth="1"/>
    <col min="6396" max="6396" width="15.28515625" style="62" bestFit="1" customWidth="1"/>
    <col min="6397" max="6397" width="5.7109375" style="62" customWidth="1"/>
    <col min="6398" max="6398" width="42.7109375" style="62" customWidth="1"/>
    <col min="6399" max="6399" width="17.7109375" style="62" customWidth="1"/>
    <col min="6400" max="6400" width="17.5703125" style="62" customWidth="1"/>
    <col min="6401" max="6401" width="9.140625" style="62"/>
    <col min="6402" max="6402" width="17.28515625" style="62" customWidth="1"/>
    <col min="6403" max="6403" width="13.42578125" style="62" customWidth="1"/>
    <col min="6404" max="6404" width="30.7109375" style="62" customWidth="1"/>
    <col min="6405" max="6405" width="19.42578125" style="62" customWidth="1"/>
    <col min="6406" max="6406" width="21.28515625" style="62" bestFit="1" customWidth="1"/>
    <col min="6407" max="6407" width="9.140625" style="62"/>
    <col min="6408" max="6408" width="16.85546875" style="62" bestFit="1" customWidth="1"/>
    <col min="6409" max="6649" width="9.140625" style="62"/>
    <col min="6650" max="6650" width="12.5703125" style="62" customWidth="1"/>
    <col min="6651" max="6651" width="27.7109375" style="62" customWidth="1"/>
    <col min="6652" max="6652" width="15.28515625" style="62" bestFit="1" customWidth="1"/>
    <col min="6653" max="6653" width="5.7109375" style="62" customWidth="1"/>
    <col min="6654" max="6654" width="42.7109375" style="62" customWidth="1"/>
    <col min="6655" max="6655" width="17.7109375" style="62" customWidth="1"/>
    <col min="6656" max="6656" width="17.5703125" style="62" customWidth="1"/>
    <col min="6657" max="6657" width="9.140625" style="62"/>
    <col min="6658" max="6658" width="17.28515625" style="62" customWidth="1"/>
    <col min="6659" max="6659" width="13.42578125" style="62" customWidth="1"/>
    <col min="6660" max="6660" width="30.7109375" style="62" customWidth="1"/>
    <col min="6661" max="6661" width="19.42578125" style="62" customWidth="1"/>
    <col min="6662" max="6662" width="21.28515625" style="62" bestFit="1" customWidth="1"/>
    <col min="6663" max="6663" width="9.140625" style="62"/>
    <col min="6664" max="6664" width="16.85546875" style="62" bestFit="1" customWidth="1"/>
    <col min="6665" max="6905" width="9.140625" style="62"/>
    <col min="6906" max="6906" width="12.5703125" style="62" customWidth="1"/>
    <col min="6907" max="6907" width="27.7109375" style="62" customWidth="1"/>
    <col min="6908" max="6908" width="15.28515625" style="62" bestFit="1" customWidth="1"/>
    <col min="6909" max="6909" width="5.7109375" style="62" customWidth="1"/>
    <col min="6910" max="6910" width="42.7109375" style="62" customWidth="1"/>
    <col min="6911" max="6911" width="17.7109375" style="62" customWidth="1"/>
    <col min="6912" max="6912" width="17.5703125" style="62" customWidth="1"/>
    <col min="6913" max="6913" width="9.140625" style="62"/>
    <col min="6914" max="6914" width="17.28515625" style="62" customWidth="1"/>
    <col min="6915" max="6915" width="13.42578125" style="62" customWidth="1"/>
    <col min="6916" max="6916" width="30.7109375" style="62" customWidth="1"/>
    <col min="6917" max="6917" width="19.42578125" style="62" customWidth="1"/>
    <col min="6918" max="6918" width="21.28515625" style="62" bestFit="1" customWidth="1"/>
    <col min="6919" max="6919" width="9.140625" style="62"/>
    <col min="6920" max="6920" width="16.85546875" style="62" bestFit="1" customWidth="1"/>
    <col min="6921" max="7161" width="9.140625" style="62"/>
    <col min="7162" max="7162" width="12.5703125" style="62" customWidth="1"/>
    <col min="7163" max="7163" width="27.7109375" style="62" customWidth="1"/>
    <col min="7164" max="7164" width="15.28515625" style="62" bestFit="1" customWidth="1"/>
    <col min="7165" max="7165" width="5.7109375" style="62" customWidth="1"/>
    <col min="7166" max="7166" width="42.7109375" style="62" customWidth="1"/>
    <col min="7167" max="7167" width="17.7109375" style="62" customWidth="1"/>
    <col min="7168" max="7168" width="17.5703125" style="62" customWidth="1"/>
    <col min="7169" max="7169" width="9.140625" style="62"/>
    <col min="7170" max="7170" width="17.28515625" style="62" customWidth="1"/>
    <col min="7171" max="7171" width="13.42578125" style="62" customWidth="1"/>
    <col min="7172" max="7172" width="30.7109375" style="62" customWidth="1"/>
    <col min="7173" max="7173" width="19.42578125" style="62" customWidth="1"/>
    <col min="7174" max="7174" width="21.28515625" style="62" bestFit="1" customWidth="1"/>
    <col min="7175" max="7175" width="9.140625" style="62"/>
    <col min="7176" max="7176" width="16.85546875" style="62" bestFit="1" customWidth="1"/>
    <col min="7177" max="7417" width="9.140625" style="62"/>
    <col min="7418" max="7418" width="12.5703125" style="62" customWidth="1"/>
    <col min="7419" max="7419" width="27.7109375" style="62" customWidth="1"/>
    <col min="7420" max="7420" width="15.28515625" style="62" bestFit="1" customWidth="1"/>
    <col min="7421" max="7421" width="5.7109375" style="62" customWidth="1"/>
    <col min="7422" max="7422" width="42.7109375" style="62" customWidth="1"/>
    <col min="7423" max="7423" width="17.7109375" style="62" customWidth="1"/>
    <col min="7424" max="7424" width="17.5703125" style="62" customWidth="1"/>
    <col min="7425" max="7425" width="9.140625" style="62"/>
    <col min="7426" max="7426" width="17.28515625" style="62" customWidth="1"/>
    <col min="7427" max="7427" width="13.42578125" style="62" customWidth="1"/>
    <col min="7428" max="7428" width="30.7109375" style="62" customWidth="1"/>
    <col min="7429" max="7429" width="19.42578125" style="62" customWidth="1"/>
    <col min="7430" max="7430" width="21.28515625" style="62" bestFit="1" customWidth="1"/>
    <col min="7431" max="7431" width="9.140625" style="62"/>
    <col min="7432" max="7432" width="16.85546875" style="62" bestFit="1" customWidth="1"/>
    <col min="7433" max="7673" width="9.140625" style="62"/>
    <col min="7674" max="7674" width="12.5703125" style="62" customWidth="1"/>
    <col min="7675" max="7675" width="27.7109375" style="62" customWidth="1"/>
    <col min="7676" max="7676" width="15.28515625" style="62" bestFit="1" customWidth="1"/>
    <col min="7677" max="7677" width="5.7109375" style="62" customWidth="1"/>
    <col min="7678" max="7678" width="42.7109375" style="62" customWidth="1"/>
    <col min="7679" max="7679" width="17.7109375" style="62" customWidth="1"/>
    <col min="7680" max="7680" width="17.5703125" style="62" customWidth="1"/>
    <col min="7681" max="7681" width="9.140625" style="62"/>
    <col min="7682" max="7682" width="17.28515625" style="62" customWidth="1"/>
    <col min="7683" max="7683" width="13.42578125" style="62" customWidth="1"/>
    <col min="7684" max="7684" width="30.7109375" style="62" customWidth="1"/>
    <col min="7685" max="7685" width="19.42578125" style="62" customWidth="1"/>
    <col min="7686" max="7686" width="21.28515625" style="62" bestFit="1" customWidth="1"/>
    <col min="7687" max="7687" width="9.140625" style="62"/>
    <col min="7688" max="7688" width="16.85546875" style="62" bestFit="1" customWidth="1"/>
    <col min="7689" max="7929" width="9.140625" style="62"/>
    <col min="7930" max="7930" width="12.5703125" style="62" customWidth="1"/>
    <col min="7931" max="7931" width="27.7109375" style="62" customWidth="1"/>
    <col min="7932" max="7932" width="15.28515625" style="62" bestFit="1" customWidth="1"/>
    <col min="7933" max="7933" width="5.7109375" style="62" customWidth="1"/>
    <col min="7934" max="7934" width="42.7109375" style="62" customWidth="1"/>
    <col min="7935" max="7935" width="17.7109375" style="62" customWidth="1"/>
    <col min="7936" max="7936" width="17.5703125" style="62" customWidth="1"/>
    <col min="7937" max="7937" width="9.140625" style="62"/>
    <col min="7938" max="7938" width="17.28515625" style="62" customWidth="1"/>
    <col min="7939" max="7939" width="13.42578125" style="62" customWidth="1"/>
    <col min="7940" max="7940" width="30.7109375" style="62" customWidth="1"/>
    <col min="7941" max="7941" width="19.42578125" style="62" customWidth="1"/>
    <col min="7942" max="7942" width="21.28515625" style="62" bestFit="1" customWidth="1"/>
    <col min="7943" max="7943" width="9.140625" style="62"/>
    <col min="7944" max="7944" width="16.85546875" style="62" bestFit="1" customWidth="1"/>
    <col min="7945" max="8185" width="9.140625" style="62"/>
    <col min="8186" max="8186" width="12.5703125" style="62" customWidth="1"/>
    <col min="8187" max="8187" width="27.7109375" style="62" customWidth="1"/>
    <col min="8188" max="8188" width="15.28515625" style="62" bestFit="1" customWidth="1"/>
    <col min="8189" max="8189" width="5.7109375" style="62" customWidth="1"/>
    <col min="8190" max="8190" width="42.7109375" style="62" customWidth="1"/>
    <col min="8191" max="8191" width="17.7109375" style="62" customWidth="1"/>
    <col min="8192" max="8192" width="17.5703125" style="62" customWidth="1"/>
    <col min="8193" max="8193" width="9.140625" style="62"/>
    <col min="8194" max="8194" width="17.28515625" style="62" customWidth="1"/>
    <col min="8195" max="8195" width="13.42578125" style="62" customWidth="1"/>
    <col min="8196" max="8196" width="30.7109375" style="62" customWidth="1"/>
    <col min="8197" max="8197" width="19.42578125" style="62" customWidth="1"/>
    <col min="8198" max="8198" width="21.28515625" style="62" bestFit="1" customWidth="1"/>
    <col min="8199" max="8199" width="9.140625" style="62"/>
    <col min="8200" max="8200" width="16.85546875" style="62" bestFit="1" customWidth="1"/>
    <col min="8201" max="8441" width="9.140625" style="62"/>
    <col min="8442" max="8442" width="12.5703125" style="62" customWidth="1"/>
    <col min="8443" max="8443" width="27.7109375" style="62" customWidth="1"/>
    <col min="8444" max="8444" width="15.28515625" style="62" bestFit="1" customWidth="1"/>
    <col min="8445" max="8445" width="5.7109375" style="62" customWidth="1"/>
    <col min="8446" max="8446" width="42.7109375" style="62" customWidth="1"/>
    <col min="8447" max="8447" width="17.7109375" style="62" customWidth="1"/>
    <col min="8448" max="8448" width="17.5703125" style="62" customWidth="1"/>
    <col min="8449" max="8449" width="9.140625" style="62"/>
    <col min="8450" max="8450" width="17.28515625" style="62" customWidth="1"/>
    <col min="8451" max="8451" width="13.42578125" style="62" customWidth="1"/>
    <col min="8452" max="8452" width="30.7109375" style="62" customWidth="1"/>
    <col min="8453" max="8453" width="19.42578125" style="62" customWidth="1"/>
    <col min="8454" max="8454" width="21.28515625" style="62" bestFit="1" customWidth="1"/>
    <col min="8455" max="8455" width="9.140625" style="62"/>
    <col min="8456" max="8456" width="16.85546875" style="62" bestFit="1" customWidth="1"/>
    <col min="8457" max="8697" width="9.140625" style="62"/>
    <col min="8698" max="8698" width="12.5703125" style="62" customWidth="1"/>
    <col min="8699" max="8699" width="27.7109375" style="62" customWidth="1"/>
    <col min="8700" max="8700" width="15.28515625" style="62" bestFit="1" customWidth="1"/>
    <col min="8701" max="8701" width="5.7109375" style="62" customWidth="1"/>
    <col min="8702" max="8702" width="42.7109375" style="62" customWidth="1"/>
    <col min="8703" max="8703" width="17.7109375" style="62" customWidth="1"/>
    <col min="8704" max="8704" width="17.5703125" style="62" customWidth="1"/>
    <col min="8705" max="8705" width="9.140625" style="62"/>
    <col min="8706" max="8706" width="17.28515625" style="62" customWidth="1"/>
    <col min="8707" max="8707" width="13.42578125" style="62" customWidth="1"/>
    <col min="8708" max="8708" width="30.7109375" style="62" customWidth="1"/>
    <col min="8709" max="8709" width="19.42578125" style="62" customWidth="1"/>
    <col min="8710" max="8710" width="21.28515625" style="62" bestFit="1" customWidth="1"/>
    <col min="8711" max="8711" width="9.140625" style="62"/>
    <col min="8712" max="8712" width="16.85546875" style="62" bestFit="1" customWidth="1"/>
    <col min="8713" max="8953" width="9.140625" style="62"/>
    <col min="8954" max="8954" width="12.5703125" style="62" customWidth="1"/>
    <col min="8955" max="8955" width="27.7109375" style="62" customWidth="1"/>
    <col min="8956" max="8956" width="15.28515625" style="62" bestFit="1" customWidth="1"/>
    <col min="8957" max="8957" width="5.7109375" style="62" customWidth="1"/>
    <col min="8958" max="8958" width="42.7109375" style="62" customWidth="1"/>
    <col min="8959" max="8959" width="17.7109375" style="62" customWidth="1"/>
    <col min="8960" max="8960" width="17.5703125" style="62" customWidth="1"/>
    <col min="8961" max="8961" width="9.140625" style="62"/>
    <col min="8962" max="8962" width="17.28515625" style="62" customWidth="1"/>
    <col min="8963" max="8963" width="13.42578125" style="62" customWidth="1"/>
    <col min="8964" max="8964" width="30.7109375" style="62" customWidth="1"/>
    <col min="8965" max="8965" width="19.42578125" style="62" customWidth="1"/>
    <col min="8966" max="8966" width="21.28515625" style="62" bestFit="1" customWidth="1"/>
    <col min="8967" max="8967" width="9.140625" style="62"/>
    <col min="8968" max="8968" width="16.85546875" style="62" bestFit="1" customWidth="1"/>
    <col min="8969" max="9209" width="9.140625" style="62"/>
    <col min="9210" max="9210" width="12.5703125" style="62" customWidth="1"/>
    <col min="9211" max="9211" width="27.7109375" style="62" customWidth="1"/>
    <col min="9212" max="9212" width="15.28515625" style="62" bestFit="1" customWidth="1"/>
    <col min="9213" max="9213" width="5.7109375" style="62" customWidth="1"/>
    <col min="9214" max="9214" width="42.7109375" style="62" customWidth="1"/>
    <col min="9215" max="9215" width="17.7109375" style="62" customWidth="1"/>
    <col min="9216" max="9216" width="17.5703125" style="62" customWidth="1"/>
    <col min="9217" max="9217" width="9.140625" style="62"/>
    <col min="9218" max="9218" width="17.28515625" style="62" customWidth="1"/>
    <col min="9219" max="9219" width="13.42578125" style="62" customWidth="1"/>
    <col min="9220" max="9220" width="30.7109375" style="62" customWidth="1"/>
    <col min="9221" max="9221" width="19.42578125" style="62" customWidth="1"/>
    <col min="9222" max="9222" width="21.28515625" style="62" bestFit="1" customWidth="1"/>
    <col min="9223" max="9223" width="9.140625" style="62"/>
    <col min="9224" max="9224" width="16.85546875" style="62" bestFit="1" customWidth="1"/>
    <col min="9225" max="9465" width="9.140625" style="62"/>
    <col min="9466" max="9466" width="12.5703125" style="62" customWidth="1"/>
    <col min="9467" max="9467" width="27.7109375" style="62" customWidth="1"/>
    <col min="9468" max="9468" width="15.28515625" style="62" bestFit="1" customWidth="1"/>
    <col min="9469" max="9469" width="5.7109375" style="62" customWidth="1"/>
    <col min="9470" max="9470" width="42.7109375" style="62" customWidth="1"/>
    <col min="9471" max="9471" width="17.7109375" style="62" customWidth="1"/>
    <col min="9472" max="9472" width="17.5703125" style="62" customWidth="1"/>
    <col min="9473" max="9473" width="9.140625" style="62"/>
    <col min="9474" max="9474" width="17.28515625" style="62" customWidth="1"/>
    <col min="9475" max="9475" width="13.42578125" style="62" customWidth="1"/>
    <col min="9476" max="9476" width="30.7109375" style="62" customWidth="1"/>
    <col min="9477" max="9477" width="19.42578125" style="62" customWidth="1"/>
    <col min="9478" max="9478" width="21.28515625" style="62" bestFit="1" customWidth="1"/>
    <col min="9479" max="9479" width="9.140625" style="62"/>
    <col min="9480" max="9480" width="16.85546875" style="62" bestFit="1" customWidth="1"/>
    <col min="9481" max="9721" width="9.140625" style="62"/>
    <col min="9722" max="9722" width="12.5703125" style="62" customWidth="1"/>
    <col min="9723" max="9723" width="27.7109375" style="62" customWidth="1"/>
    <col min="9724" max="9724" width="15.28515625" style="62" bestFit="1" customWidth="1"/>
    <col min="9725" max="9725" width="5.7109375" style="62" customWidth="1"/>
    <col min="9726" max="9726" width="42.7109375" style="62" customWidth="1"/>
    <col min="9727" max="9727" width="17.7109375" style="62" customWidth="1"/>
    <col min="9728" max="9728" width="17.5703125" style="62" customWidth="1"/>
    <col min="9729" max="9729" width="9.140625" style="62"/>
    <col min="9730" max="9730" width="17.28515625" style="62" customWidth="1"/>
    <col min="9731" max="9731" width="13.42578125" style="62" customWidth="1"/>
    <col min="9732" max="9732" width="30.7109375" style="62" customWidth="1"/>
    <col min="9733" max="9733" width="19.42578125" style="62" customWidth="1"/>
    <col min="9734" max="9734" width="21.28515625" style="62" bestFit="1" customWidth="1"/>
    <col min="9735" max="9735" width="9.140625" style="62"/>
    <col min="9736" max="9736" width="16.85546875" style="62" bestFit="1" customWidth="1"/>
    <col min="9737" max="9977" width="9.140625" style="62"/>
    <col min="9978" max="9978" width="12.5703125" style="62" customWidth="1"/>
    <col min="9979" max="9979" width="27.7109375" style="62" customWidth="1"/>
    <col min="9980" max="9980" width="15.28515625" style="62" bestFit="1" customWidth="1"/>
    <col min="9981" max="9981" width="5.7109375" style="62" customWidth="1"/>
    <col min="9982" max="9982" width="42.7109375" style="62" customWidth="1"/>
    <col min="9983" max="9983" width="17.7109375" style="62" customWidth="1"/>
    <col min="9984" max="9984" width="17.5703125" style="62" customWidth="1"/>
    <col min="9985" max="9985" width="9.140625" style="62"/>
    <col min="9986" max="9986" width="17.28515625" style="62" customWidth="1"/>
    <col min="9987" max="9987" width="13.42578125" style="62" customWidth="1"/>
    <col min="9988" max="9988" width="30.7109375" style="62" customWidth="1"/>
    <col min="9989" max="9989" width="19.42578125" style="62" customWidth="1"/>
    <col min="9990" max="9990" width="21.28515625" style="62" bestFit="1" customWidth="1"/>
    <col min="9991" max="9991" width="9.140625" style="62"/>
    <col min="9992" max="9992" width="16.85546875" style="62" bestFit="1" customWidth="1"/>
    <col min="9993" max="10233" width="9.140625" style="62"/>
    <col min="10234" max="10234" width="12.5703125" style="62" customWidth="1"/>
    <col min="10235" max="10235" width="27.7109375" style="62" customWidth="1"/>
    <col min="10236" max="10236" width="15.28515625" style="62" bestFit="1" customWidth="1"/>
    <col min="10237" max="10237" width="5.7109375" style="62" customWidth="1"/>
    <col min="10238" max="10238" width="42.7109375" style="62" customWidth="1"/>
    <col min="10239" max="10239" width="17.7109375" style="62" customWidth="1"/>
    <col min="10240" max="10240" width="17.5703125" style="62" customWidth="1"/>
    <col min="10241" max="10241" width="9.140625" style="62"/>
    <col min="10242" max="10242" width="17.28515625" style="62" customWidth="1"/>
    <col min="10243" max="10243" width="13.42578125" style="62" customWidth="1"/>
    <col min="10244" max="10244" width="30.7109375" style="62" customWidth="1"/>
    <col min="10245" max="10245" width="19.42578125" style="62" customWidth="1"/>
    <col min="10246" max="10246" width="21.28515625" style="62" bestFit="1" customWidth="1"/>
    <col min="10247" max="10247" width="9.140625" style="62"/>
    <col min="10248" max="10248" width="16.85546875" style="62" bestFit="1" customWidth="1"/>
    <col min="10249" max="10489" width="9.140625" style="62"/>
    <col min="10490" max="10490" width="12.5703125" style="62" customWidth="1"/>
    <col min="10491" max="10491" width="27.7109375" style="62" customWidth="1"/>
    <col min="10492" max="10492" width="15.28515625" style="62" bestFit="1" customWidth="1"/>
    <col min="10493" max="10493" width="5.7109375" style="62" customWidth="1"/>
    <col min="10494" max="10494" width="42.7109375" style="62" customWidth="1"/>
    <col min="10495" max="10495" width="17.7109375" style="62" customWidth="1"/>
    <col min="10496" max="10496" width="17.5703125" style="62" customWidth="1"/>
    <col min="10497" max="10497" width="9.140625" style="62"/>
    <col min="10498" max="10498" width="17.28515625" style="62" customWidth="1"/>
    <col min="10499" max="10499" width="13.42578125" style="62" customWidth="1"/>
    <col min="10500" max="10500" width="30.7109375" style="62" customWidth="1"/>
    <col min="10501" max="10501" width="19.42578125" style="62" customWidth="1"/>
    <col min="10502" max="10502" width="21.28515625" style="62" bestFit="1" customWidth="1"/>
    <col min="10503" max="10503" width="9.140625" style="62"/>
    <col min="10504" max="10504" width="16.85546875" style="62" bestFit="1" customWidth="1"/>
    <col min="10505" max="10745" width="9.140625" style="62"/>
    <col min="10746" max="10746" width="12.5703125" style="62" customWidth="1"/>
    <col min="10747" max="10747" width="27.7109375" style="62" customWidth="1"/>
    <col min="10748" max="10748" width="15.28515625" style="62" bestFit="1" customWidth="1"/>
    <col min="10749" max="10749" width="5.7109375" style="62" customWidth="1"/>
    <col min="10750" max="10750" width="42.7109375" style="62" customWidth="1"/>
    <col min="10751" max="10751" width="17.7109375" style="62" customWidth="1"/>
    <col min="10752" max="10752" width="17.5703125" style="62" customWidth="1"/>
    <col min="10753" max="10753" width="9.140625" style="62"/>
    <col min="10754" max="10754" width="17.28515625" style="62" customWidth="1"/>
    <col min="10755" max="10755" width="13.42578125" style="62" customWidth="1"/>
    <col min="10756" max="10756" width="30.7109375" style="62" customWidth="1"/>
    <col min="10757" max="10757" width="19.42578125" style="62" customWidth="1"/>
    <col min="10758" max="10758" width="21.28515625" style="62" bestFit="1" customWidth="1"/>
    <col min="10759" max="10759" width="9.140625" style="62"/>
    <col min="10760" max="10760" width="16.85546875" style="62" bestFit="1" customWidth="1"/>
    <col min="10761" max="11001" width="9.140625" style="62"/>
    <col min="11002" max="11002" width="12.5703125" style="62" customWidth="1"/>
    <col min="11003" max="11003" width="27.7109375" style="62" customWidth="1"/>
    <col min="11004" max="11004" width="15.28515625" style="62" bestFit="1" customWidth="1"/>
    <col min="11005" max="11005" width="5.7109375" style="62" customWidth="1"/>
    <col min="11006" max="11006" width="42.7109375" style="62" customWidth="1"/>
    <col min="11007" max="11007" width="17.7109375" style="62" customWidth="1"/>
    <col min="11008" max="11008" width="17.5703125" style="62" customWidth="1"/>
    <col min="11009" max="11009" width="9.140625" style="62"/>
    <col min="11010" max="11010" width="17.28515625" style="62" customWidth="1"/>
    <col min="11011" max="11011" width="13.42578125" style="62" customWidth="1"/>
    <col min="11012" max="11012" width="30.7109375" style="62" customWidth="1"/>
    <col min="11013" max="11013" width="19.42578125" style="62" customWidth="1"/>
    <col min="11014" max="11014" width="21.28515625" style="62" bestFit="1" customWidth="1"/>
    <col min="11015" max="11015" width="9.140625" style="62"/>
    <col min="11016" max="11016" width="16.85546875" style="62" bestFit="1" customWidth="1"/>
    <col min="11017" max="11257" width="9.140625" style="62"/>
    <col min="11258" max="11258" width="12.5703125" style="62" customWidth="1"/>
    <col min="11259" max="11259" width="27.7109375" style="62" customWidth="1"/>
    <col min="11260" max="11260" width="15.28515625" style="62" bestFit="1" customWidth="1"/>
    <col min="11261" max="11261" width="5.7109375" style="62" customWidth="1"/>
    <col min="11262" max="11262" width="42.7109375" style="62" customWidth="1"/>
    <col min="11263" max="11263" width="17.7109375" style="62" customWidth="1"/>
    <col min="11264" max="11264" width="17.5703125" style="62" customWidth="1"/>
    <col min="11265" max="11265" width="9.140625" style="62"/>
    <col min="11266" max="11266" width="17.28515625" style="62" customWidth="1"/>
    <col min="11267" max="11267" width="13.42578125" style="62" customWidth="1"/>
    <col min="11268" max="11268" width="30.7109375" style="62" customWidth="1"/>
    <col min="11269" max="11269" width="19.42578125" style="62" customWidth="1"/>
    <col min="11270" max="11270" width="21.28515625" style="62" bestFit="1" customWidth="1"/>
    <col min="11271" max="11271" width="9.140625" style="62"/>
    <col min="11272" max="11272" width="16.85546875" style="62" bestFit="1" customWidth="1"/>
    <col min="11273" max="11513" width="9.140625" style="62"/>
    <col min="11514" max="11514" width="12.5703125" style="62" customWidth="1"/>
    <col min="11515" max="11515" width="27.7109375" style="62" customWidth="1"/>
    <col min="11516" max="11516" width="15.28515625" style="62" bestFit="1" customWidth="1"/>
    <col min="11517" max="11517" width="5.7109375" style="62" customWidth="1"/>
    <col min="11518" max="11518" width="42.7109375" style="62" customWidth="1"/>
    <col min="11519" max="11519" width="17.7109375" style="62" customWidth="1"/>
    <col min="11520" max="11520" width="17.5703125" style="62" customWidth="1"/>
    <col min="11521" max="11521" width="9.140625" style="62"/>
    <col min="11522" max="11522" width="17.28515625" style="62" customWidth="1"/>
    <col min="11523" max="11523" width="13.42578125" style="62" customWidth="1"/>
    <col min="11524" max="11524" width="30.7109375" style="62" customWidth="1"/>
    <col min="11525" max="11525" width="19.42578125" style="62" customWidth="1"/>
    <col min="11526" max="11526" width="21.28515625" style="62" bestFit="1" customWidth="1"/>
    <col min="11527" max="11527" width="9.140625" style="62"/>
    <col min="11528" max="11528" width="16.85546875" style="62" bestFit="1" customWidth="1"/>
    <col min="11529" max="11769" width="9.140625" style="62"/>
    <col min="11770" max="11770" width="12.5703125" style="62" customWidth="1"/>
    <col min="11771" max="11771" width="27.7109375" style="62" customWidth="1"/>
    <col min="11772" max="11772" width="15.28515625" style="62" bestFit="1" customWidth="1"/>
    <col min="11773" max="11773" width="5.7109375" style="62" customWidth="1"/>
    <col min="11774" max="11774" width="42.7109375" style="62" customWidth="1"/>
    <col min="11775" max="11775" width="17.7109375" style="62" customWidth="1"/>
    <col min="11776" max="11776" width="17.5703125" style="62" customWidth="1"/>
    <col min="11777" max="11777" width="9.140625" style="62"/>
    <col min="11778" max="11778" width="17.28515625" style="62" customWidth="1"/>
    <col min="11779" max="11779" width="13.42578125" style="62" customWidth="1"/>
    <col min="11780" max="11780" width="30.7109375" style="62" customWidth="1"/>
    <col min="11781" max="11781" width="19.42578125" style="62" customWidth="1"/>
    <col min="11782" max="11782" width="21.28515625" style="62" bestFit="1" customWidth="1"/>
    <col min="11783" max="11783" width="9.140625" style="62"/>
    <col min="11784" max="11784" width="16.85546875" style="62" bestFit="1" customWidth="1"/>
    <col min="11785" max="12025" width="9.140625" style="62"/>
    <col min="12026" max="12026" width="12.5703125" style="62" customWidth="1"/>
    <col min="12027" max="12027" width="27.7109375" style="62" customWidth="1"/>
    <col min="12028" max="12028" width="15.28515625" style="62" bestFit="1" customWidth="1"/>
    <col min="12029" max="12029" width="5.7109375" style="62" customWidth="1"/>
    <col min="12030" max="12030" width="42.7109375" style="62" customWidth="1"/>
    <col min="12031" max="12031" width="17.7109375" style="62" customWidth="1"/>
    <col min="12032" max="12032" width="17.5703125" style="62" customWidth="1"/>
    <col min="12033" max="12033" width="9.140625" style="62"/>
    <col min="12034" max="12034" width="17.28515625" style="62" customWidth="1"/>
    <col min="12035" max="12035" width="13.42578125" style="62" customWidth="1"/>
    <col min="12036" max="12036" width="30.7109375" style="62" customWidth="1"/>
    <col min="12037" max="12037" width="19.42578125" style="62" customWidth="1"/>
    <col min="12038" max="12038" width="21.28515625" style="62" bestFit="1" customWidth="1"/>
    <col min="12039" max="12039" width="9.140625" style="62"/>
    <col min="12040" max="12040" width="16.85546875" style="62" bestFit="1" customWidth="1"/>
    <col min="12041" max="12281" width="9.140625" style="62"/>
    <col min="12282" max="12282" width="12.5703125" style="62" customWidth="1"/>
    <col min="12283" max="12283" width="27.7109375" style="62" customWidth="1"/>
    <col min="12284" max="12284" width="15.28515625" style="62" bestFit="1" customWidth="1"/>
    <col min="12285" max="12285" width="5.7109375" style="62" customWidth="1"/>
    <col min="12286" max="12286" width="42.7109375" style="62" customWidth="1"/>
    <col min="12287" max="12287" width="17.7109375" style="62" customWidth="1"/>
    <col min="12288" max="12288" width="17.5703125" style="62" customWidth="1"/>
    <col min="12289" max="12289" width="9.140625" style="62"/>
    <col min="12290" max="12290" width="17.28515625" style="62" customWidth="1"/>
    <col min="12291" max="12291" width="13.42578125" style="62" customWidth="1"/>
    <col min="12292" max="12292" width="30.7109375" style="62" customWidth="1"/>
    <col min="12293" max="12293" width="19.42578125" style="62" customWidth="1"/>
    <col min="12294" max="12294" width="21.28515625" style="62" bestFit="1" customWidth="1"/>
    <col min="12295" max="12295" width="9.140625" style="62"/>
    <col min="12296" max="12296" width="16.85546875" style="62" bestFit="1" customWidth="1"/>
    <col min="12297" max="12537" width="9.140625" style="62"/>
    <col min="12538" max="12538" width="12.5703125" style="62" customWidth="1"/>
    <col min="12539" max="12539" width="27.7109375" style="62" customWidth="1"/>
    <col min="12540" max="12540" width="15.28515625" style="62" bestFit="1" customWidth="1"/>
    <col min="12541" max="12541" width="5.7109375" style="62" customWidth="1"/>
    <col min="12542" max="12542" width="42.7109375" style="62" customWidth="1"/>
    <col min="12543" max="12543" width="17.7109375" style="62" customWidth="1"/>
    <col min="12544" max="12544" width="17.5703125" style="62" customWidth="1"/>
    <col min="12545" max="12545" width="9.140625" style="62"/>
    <col min="12546" max="12546" width="17.28515625" style="62" customWidth="1"/>
    <col min="12547" max="12547" width="13.42578125" style="62" customWidth="1"/>
    <col min="12548" max="12548" width="30.7109375" style="62" customWidth="1"/>
    <col min="12549" max="12549" width="19.42578125" style="62" customWidth="1"/>
    <col min="12550" max="12550" width="21.28515625" style="62" bestFit="1" customWidth="1"/>
    <col min="12551" max="12551" width="9.140625" style="62"/>
    <col min="12552" max="12552" width="16.85546875" style="62" bestFit="1" customWidth="1"/>
    <col min="12553" max="12793" width="9.140625" style="62"/>
    <col min="12794" max="12794" width="12.5703125" style="62" customWidth="1"/>
    <col min="12795" max="12795" width="27.7109375" style="62" customWidth="1"/>
    <col min="12796" max="12796" width="15.28515625" style="62" bestFit="1" customWidth="1"/>
    <col min="12797" max="12797" width="5.7109375" style="62" customWidth="1"/>
    <col min="12798" max="12798" width="42.7109375" style="62" customWidth="1"/>
    <col min="12799" max="12799" width="17.7109375" style="62" customWidth="1"/>
    <col min="12800" max="12800" width="17.5703125" style="62" customWidth="1"/>
    <col min="12801" max="12801" width="9.140625" style="62"/>
    <col min="12802" max="12802" width="17.28515625" style="62" customWidth="1"/>
    <col min="12803" max="12803" width="13.42578125" style="62" customWidth="1"/>
    <col min="12804" max="12804" width="30.7109375" style="62" customWidth="1"/>
    <col min="12805" max="12805" width="19.42578125" style="62" customWidth="1"/>
    <col min="12806" max="12806" width="21.28515625" style="62" bestFit="1" customWidth="1"/>
    <col min="12807" max="12807" width="9.140625" style="62"/>
    <col min="12808" max="12808" width="16.85546875" style="62" bestFit="1" customWidth="1"/>
    <col min="12809" max="13049" width="9.140625" style="62"/>
    <col min="13050" max="13050" width="12.5703125" style="62" customWidth="1"/>
    <col min="13051" max="13051" width="27.7109375" style="62" customWidth="1"/>
    <col min="13052" max="13052" width="15.28515625" style="62" bestFit="1" customWidth="1"/>
    <col min="13053" max="13053" width="5.7109375" style="62" customWidth="1"/>
    <col min="13054" max="13054" width="42.7109375" style="62" customWidth="1"/>
    <col min="13055" max="13055" width="17.7109375" style="62" customWidth="1"/>
    <col min="13056" max="13056" width="17.5703125" style="62" customWidth="1"/>
    <col min="13057" max="13057" width="9.140625" style="62"/>
    <col min="13058" max="13058" width="17.28515625" style="62" customWidth="1"/>
    <col min="13059" max="13059" width="13.42578125" style="62" customWidth="1"/>
    <col min="13060" max="13060" width="30.7109375" style="62" customWidth="1"/>
    <col min="13061" max="13061" width="19.42578125" style="62" customWidth="1"/>
    <col min="13062" max="13062" width="21.28515625" style="62" bestFit="1" customWidth="1"/>
    <col min="13063" max="13063" width="9.140625" style="62"/>
    <col min="13064" max="13064" width="16.85546875" style="62" bestFit="1" customWidth="1"/>
    <col min="13065" max="13305" width="9.140625" style="62"/>
    <col min="13306" max="13306" width="12.5703125" style="62" customWidth="1"/>
    <col min="13307" max="13307" width="27.7109375" style="62" customWidth="1"/>
    <col min="13308" max="13308" width="15.28515625" style="62" bestFit="1" customWidth="1"/>
    <col min="13309" max="13309" width="5.7109375" style="62" customWidth="1"/>
    <col min="13310" max="13310" width="42.7109375" style="62" customWidth="1"/>
    <col min="13311" max="13311" width="17.7109375" style="62" customWidth="1"/>
    <col min="13312" max="13312" width="17.5703125" style="62" customWidth="1"/>
    <col min="13313" max="13313" width="9.140625" style="62"/>
    <col min="13314" max="13314" width="17.28515625" style="62" customWidth="1"/>
    <col min="13315" max="13315" width="13.42578125" style="62" customWidth="1"/>
    <col min="13316" max="13316" width="30.7109375" style="62" customWidth="1"/>
    <col min="13317" max="13317" width="19.42578125" style="62" customWidth="1"/>
    <col min="13318" max="13318" width="21.28515625" style="62" bestFit="1" customWidth="1"/>
    <col min="13319" max="13319" width="9.140625" style="62"/>
    <col min="13320" max="13320" width="16.85546875" style="62" bestFit="1" customWidth="1"/>
    <col min="13321" max="13561" width="9.140625" style="62"/>
    <col min="13562" max="13562" width="12.5703125" style="62" customWidth="1"/>
    <col min="13563" max="13563" width="27.7109375" style="62" customWidth="1"/>
    <col min="13564" max="13564" width="15.28515625" style="62" bestFit="1" customWidth="1"/>
    <col min="13565" max="13565" width="5.7109375" style="62" customWidth="1"/>
    <col min="13566" max="13566" width="42.7109375" style="62" customWidth="1"/>
    <col min="13567" max="13567" width="17.7109375" style="62" customWidth="1"/>
    <col min="13568" max="13568" width="17.5703125" style="62" customWidth="1"/>
    <col min="13569" max="13569" width="9.140625" style="62"/>
    <col min="13570" max="13570" width="17.28515625" style="62" customWidth="1"/>
    <col min="13571" max="13571" width="13.42578125" style="62" customWidth="1"/>
    <col min="13572" max="13572" width="30.7109375" style="62" customWidth="1"/>
    <col min="13573" max="13573" width="19.42578125" style="62" customWidth="1"/>
    <col min="13574" max="13574" width="21.28515625" style="62" bestFit="1" customWidth="1"/>
    <col min="13575" max="13575" width="9.140625" style="62"/>
    <col min="13576" max="13576" width="16.85546875" style="62" bestFit="1" customWidth="1"/>
    <col min="13577" max="13817" width="9.140625" style="62"/>
    <col min="13818" max="13818" width="12.5703125" style="62" customWidth="1"/>
    <col min="13819" max="13819" width="27.7109375" style="62" customWidth="1"/>
    <col min="13820" max="13820" width="15.28515625" style="62" bestFit="1" customWidth="1"/>
    <col min="13821" max="13821" width="5.7109375" style="62" customWidth="1"/>
    <col min="13822" max="13822" width="42.7109375" style="62" customWidth="1"/>
    <col min="13823" max="13823" width="17.7109375" style="62" customWidth="1"/>
    <col min="13824" max="13824" width="17.5703125" style="62" customWidth="1"/>
    <col min="13825" max="13825" width="9.140625" style="62"/>
    <col min="13826" max="13826" width="17.28515625" style="62" customWidth="1"/>
    <col min="13827" max="13827" width="13.42578125" style="62" customWidth="1"/>
    <col min="13828" max="13828" width="30.7109375" style="62" customWidth="1"/>
    <col min="13829" max="13829" width="19.42578125" style="62" customWidth="1"/>
    <col min="13830" max="13830" width="21.28515625" style="62" bestFit="1" customWidth="1"/>
    <col min="13831" max="13831" width="9.140625" style="62"/>
    <col min="13832" max="13832" width="16.85546875" style="62" bestFit="1" customWidth="1"/>
    <col min="13833" max="14073" width="9.140625" style="62"/>
    <col min="14074" max="14074" width="12.5703125" style="62" customWidth="1"/>
    <col min="14075" max="14075" width="27.7109375" style="62" customWidth="1"/>
    <col min="14076" max="14076" width="15.28515625" style="62" bestFit="1" customWidth="1"/>
    <col min="14077" max="14077" width="5.7109375" style="62" customWidth="1"/>
    <col min="14078" max="14078" width="42.7109375" style="62" customWidth="1"/>
    <col min="14079" max="14079" width="17.7109375" style="62" customWidth="1"/>
    <col min="14080" max="14080" width="17.5703125" style="62" customWidth="1"/>
    <col min="14081" max="14081" width="9.140625" style="62"/>
    <col min="14082" max="14082" width="17.28515625" style="62" customWidth="1"/>
    <col min="14083" max="14083" width="13.42578125" style="62" customWidth="1"/>
    <col min="14084" max="14084" width="30.7109375" style="62" customWidth="1"/>
    <col min="14085" max="14085" width="19.42578125" style="62" customWidth="1"/>
    <col min="14086" max="14086" width="21.28515625" style="62" bestFit="1" customWidth="1"/>
    <col min="14087" max="14087" width="9.140625" style="62"/>
    <col min="14088" max="14088" width="16.85546875" style="62" bestFit="1" customWidth="1"/>
    <col min="14089" max="14329" width="9.140625" style="62"/>
    <col min="14330" max="14330" width="12.5703125" style="62" customWidth="1"/>
    <col min="14331" max="14331" width="27.7109375" style="62" customWidth="1"/>
    <col min="14332" max="14332" width="15.28515625" style="62" bestFit="1" customWidth="1"/>
    <col min="14333" max="14333" width="5.7109375" style="62" customWidth="1"/>
    <col min="14334" max="14334" width="42.7109375" style="62" customWidth="1"/>
    <col min="14335" max="14335" width="17.7109375" style="62" customWidth="1"/>
    <col min="14336" max="14336" width="17.5703125" style="62" customWidth="1"/>
    <col min="14337" max="14337" width="9.140625" style="62"/>
    <col min="14338" max="14338" width="17.28515625" style="62" customWidth="1"/>
    <col min="14339" max="14339" width="13.42578125" style="62" customWidth="1"/>
    <col min="14340" max="14340" width="30.7109375" style="62" customWidth="1"/>
    <col min="14341" max="14341" width="19.42578125" style="62" customWidth="1"/>
    <col min="14342" max="14342" width="21.28515625" style="62" bestFit="1" customWidth="1"/>
    <col min="14343" max="14343" width="9.140625" style="62"/>
    <col min="14344" max="14344" width="16.85546875" style="62" bestFit="1" customWidth="1"/>
    <col min="14345" max="14585" width="9.140625" style="62"/>
    <col min="14586" max="14586" width="12.5703125" style="62" customWidth="1"/>
    <col min="14587" max="14587" width="27.7109375" style="62" customWidth="1"/>
    <col min="14588" max="14588" width="15.28515625" style="62" bestFit="1" customWidth="1"/>
    <col min="14589" max="14589" width="5.7109375" style="62" customWidth="1"/>
    <col min="14590" max="14590" width="42.7109375" style="62" customWidth="1"/>
    <col min="14591" max="14591" width="17.7109375" style="62" customWidth="1"/>
    <col min="14592" max="14592" width="17.5703125" style="62" customWidth="1"/>
    <col min="14593" max="14593" width="9.140625" style="62"/>
    <col min="14594" max="14594" width="17.28515625" style="62" customWidth="1"/>
    <col min="14595" max="14595" width="13.42578125" style="62" customWidth="1"/>
    <col min="14596" max="14596" width="30.7109375" style="62" customWidth="1"/>
    <col min="14597" max="14597" width="19.42578125" style="62" customWidth="1"/>
    <col min="14598" max="14598" width="21.28515625" style="62" bestFit="1" customWidth="1"/>
    <col min="14599" max="14599" width="9.140625" style="62"/>
    <col min="14600" max="14600" width="16.85546875" style="62" bestFit="1" customWidth="1"/>
    <col min="14601" max="14841" width="9.140625" style="62"/>
    <col min="14842" max="14842" width="12.5703125" style="62" customWidth="1"/>
    <col min="14843" max="14843" width="27.7109375" style="62" customWidth="1"/>
    <col min="14844" max="14844" width="15.28515625" style="62" bestFit="1" customWidth="1"/>
    <col min="14845" max="14845" width="5.7109375" style="62" customWidth="1"/>
    <col min="14846" max="14846" width="42.7109375" style="62" customWidth="1"/>
    <col min="14847" max="14847" width="17.7109375" style="62" customWidth="1"/>
    <col min="14848" max="14848" width="17.5703125" style="62" customWidth="1"/>
    <col min="14849" max="14849" width="9.140625" style="62"/>
    <col min="14850" max="14850" width="17.28515625" style="62" customWidth="1"/>
    <col min="14851" max="14851" width="13.42578125" style="62" customWidth="1"/>
    <col min="14852" max="14852" width="30.7109375" style="62" customWidth="1"/>
    <col min="14853" max="14853" width="19.42578125" style="62" customWidth="1"/>
    <col min="14854" max="14854" width="21.28515625" style="62" bestFit="1" customWidth="1"/>
    <col min="14855" max="14855" width="9.140625" style="62"/>
    <col min="14856" max="14856" width="16.85546875" style="62" bestFit="1" customWidth="1"/>
    <col min="14857" max="15097" width="9.140625" style="62"/>
    <col min="15098" max="15098" width="12.5703125" style="62" customWidth="1"/>
    <col min="15099" max="15099" width="27.7109375" style="62" customWidth="1"/>
    <col min="15100" max="15100" width="15.28515625" style="62" bestFit="1" customWidth="1"/>
    <col min="15101" max="15101" width="5.7109375" style="62" customWidth="1"/>
    <col min="15102" max="15102" width="42.7109375" style="62" customWidth="1"/>
    <col min="15103" max="15103" width="17.7109375" style="62" customWidth="1"/>
    <col min="15104" max="15104" width="17.5703125" style="62" customWidth="1"/>
    <col min="15105" max="15105" width="9.140625" style="62"/>
    <col min="15106" max="15106" width="17.28515625" style="62" customWidth="1"/>
    <col min="15107" max="15107" width="13.42578125" style="62" customWidth="1"/>
    <col min="15108" max="15108" width="30.7109375" style="62" customWidth="1"/>
    <col min="15109" max="15109" width="19.42578125" style="62" customWidth="1"/>
    <col min="15110" max="15110" width="21.28515625" style="62" bestFit="1" customWidth="1"/>
    <col min="15111" max="15111" width="9.140625" style="62"/>
    <col min="15112" max="15112" width="16.85546875" style="62" bestFit="1" customWidth="1"/>
    <col min="15113" max="15353" width="9.140625" style="62"/>
    <col min="15354" max="15354" width="12.5703125" style="62" customWidth="1"/>
    <col min="15355" max="15355" width="27.7109375" style="62" customWidth="1"/>
    <col min="15356" max="15356" width="15.28515625" style="62" bestFit="1" customWidth="1"/>
    <col min="15357" max="15357" width="5.7109375" style="62" customWidth="1"/>
    <col min="15358" max="15358" width="42.7109375" style="62" customWidth="1"/>
    <col min="15359" max="15359" width="17.7109375" style="62" customWidth="1"/>
    <col min="15360" max="15360" width="17.5703125" style="62" customWidth="1"/>
    <col min="15361" max="15361" width="9.140625" style="62"/>
    <col min="15362" max="15362" width="17.28515625" style="62" customWidth="1"/>
    <col min="15363" max="15363" width="13.42578125" style="62" customWidth="1"/>
    <col min="15364" max="15364" width="30.7109375" style="62" customWidth="1"/>
    <col min="15365" max="15365" width="19.42578125" style="62" customWidth="1"/>
    <col min="15366" max="15366" width="21.28515625" style="62" bestFit="1" customWidth="1"/>
    <col min="15367" max="15367" width="9.140625" style="62"/>
    <col min="15368" max="15368" width="16.85546875" style="62" bestFit="1" customWidth="1"/>
    <col min="15369" max="15609" width="9.140625" style="62"/>
    <col min="15610" max="15610" width="12.5703125" style="62" customWidth="1"/>
    <col min="15611" max="15611" width="27.7109375" style="62" customWidth="1"/>
    <col min="15612" max="15612" width="15.28515625" style="62" bestFit="1" customWidth="1"/>
    <col min="15613" max="15613" width="5.7109375" style="62" customWidth="1"/>
    <col min="15614" max="15614" width="42.7109375" style="62" customWidth="1"/>
    <col min="15615" max="15615" width="17.7109375" style="62" customWidth="1"/>
    <col min="15616" max="15616" width="17.5703125" style="62" customWidth="1"/>
    <col min="15617" max="15617" width="9.140625" style="62"/>
    <col min="15618" max="15618" width="17.28515625" style="62" customWidth="1"/>
    <col min="15619" max="15619" width="13.42578125" style="62" customWidth="1"/>
    <col min="15620" max="15620" width="30.7109375" style="62" customWidth="1"/>
    <col min="15621" max="15621" width="19.42578125" style="62" customWidth="1"/>
    <col min="15622" max="15622" width="21.28515625" style="62" bestFit="1" customWidth="1"/>
    <col min="15623" max="15623" width="9.140625" style="62"/>
    <col min="15624" max="15624" width="16.85546875" style="62" bestFit="1" customWidth="1"/>
    <col min="15625" max="15865" width="9.140625" style="62"/>
    <col min="15866" max="15866" width="12.5703125" style="62" customWidth="1"/>
    <col min="15867" max="15867" width="27.7109375" style="62" customWidth="1"/>
    <col min="15868" max="15868" width="15.28515625" style="62" bestFit="1" customWidth="1"/>
    <col min="15869" max="15869" width="5.7109375" style="62" customWidth="1"/>
    <col min="15870" max="15870" width="42.7109375" style="62" customWidth="1"/>
    <col min="15871" max="15871" width="17.7109375" style="62" customWidth="1"/>
    <col min="15872" max="15872" width="17.5703125" style="62" customWidth="1"/>
    <col min="15873" max="15873" width="9.140625" style="62"/>
    <col min="15874" max="15874" width="17.28515625" style="62" customWidth="1"/>
    <col min="15875" max="15875" width="13.42578125" style="62" customWidth="1"/>
    <col min="15876" max="15876" width="30.7109375" style="62" customWidth="1"/>
    <col min="15877" max="15877" width="19.42578125" style="62" customWidth="1"/>
    <col min="15878" max="15878" width="21.28515625" style="62" bestFit="1" customWidth="1"/>
    <col min="15879" max="15879" width="9.140625" style="62"/>
    <col min="15880" max="15880" width="16.85546875" style="62" bestFit="1" customWidth="1"/>
    <col min="15881" max="16121" width="9.140625" style="62"/>
    <col min="16122" max="16122" width="12.5703125" style="62" customWidth="1"/>
    <col min="16123" max="16123" width="27.7109375" style="62" customWidth="1"/>
    <col min="16124" max="16124" width="15.28515625" style="62" bestFit="1" customWidth="1"/>
    <col min="16125" max="16125" width="5.7109375" style="62" customWidth="1"/>
    <col min="16126" max="16126" width="42.7109375" style="62" customWidth="1"/>
    <col min="16127" max="16127" width="17.7109375" style="62" customWidth="1"/>
    <col min="16128" max="16128" width="17.5703125" style="62" customWidth="1"/>
    <col min="16129" max="16129" width="9.140625" style="62"/>
    <col min="16130" max="16130" width="17.28515625" style="62" customWidth="1"/>
    <col min="16131" max="16131" width="13.42578125" style="62" customWidth="1"/>
    <col min="16132" max="16132" width="30.7109375" style="62" customWidth="1"/>
    <col min="16133" max="16133" width="19.42578125" style="62" customWidth="1"/>
    <col min="16134" max="16134" width="21.28515625" style="62" bestFit="1" customWidth="1"/>
    <col min="16135" max="16135" width="9.140625" style="62"/>
    <col min="16136" max="16136" width="16.85546875" style="62" bestFit="1" customWidth="1"/>
    <col min="16137" max="16384" width="9.140625" style="62"/>
  </cols>
  <sheetData>
    <row r="2" spans="2:8" x14ac:dyDescent="0.25">
      <c r="B2" s="407" t="s">
        <v>1195</v>
      </c>
      <c r="C2" s="407"/>
      <c r="D2" s="407"/>
      <c r="E2" s="407"/>
      <c r="F2" s="407"/>
    </row>
    <row r="3" spans="2:8" ht="15.75" thickBot="1" x14ac:dyDescent="0.3">
      <c r="B3" s="96"/>
      <c r="C3" s="96"/>
      <c r="D3" s="96"/>
      <c r="E3" s="97"/>
      <c r="F3" s="96"/>
    </row>
    <row r="4" spans="2:8" ht="15.75" thickBot="1" x14ac:dyDescent="0.3">
      <c r="B4" s="98" t="s">
        <v>401</v>
      </c>
      <c r="C4" s="99"/>
      <c r="D4" s="99"/>
      <c r="E4" s="100" t="s">
        <v>402</v>
      </c>
      <c r="F4" s="101" t="s">
        <v>403</v>
      </c>
    </row>
    <row r="5" spans="2:8" x14ac:dyDescent="0.25">
      <c r="B5" s="408" t="s">
        <v>404</v>
      </c>
      <c r="C5" s="409"/>
      <c r="D5" s="409"/>
      <c r="E5" s="103">
        <v>72028.099999999991</v>
      </c>
      <c r="F5" s="104">
        <f>E5+'Saldos - 07-2025'!F5</f>
        <v>548475.77999999991</v>
      </c>
    </row>
    <row r="6" spans="2:8" x14ac:dyDescent="0.25">
      <c r="B6" s="401" t="s">
        <v>405</v>
      </c>
      <c r="C6" s="402"/>
      <c r="D6" s="402"/>
      <c r="E6" s="105">
        <v>0</v>
      </c>
      <c r="F6" s="104">
        <f>E6+'Saldos - 07-2025'!F6</f>
        <v>1648620.1</v>
      </c>
    </row>
    <row r="7" spans="2:8" x14ac:dyDescent="0.25">
      <c r="B7" s="401" t="s">
        <v>406</v>
      </c>
      <c r="C7" s="402"/>
      <c r="D7" s="402"/>
      <c r="E7" s="105">
        <v>69203598.060000017</v>
      </c>
      <c r="F7" s="104">
        <f>E7+'Saldos - 07-2025'!F7</f>
        <v>593131060.78999996</v>
      </c>
    </row>
    <row r="8" spans="2:8" x14ac:dyDescent="0.25">
      <c r="B8" s="401" t="s">
        <v>407</v>
      </c>
      <c r="C8" s="402"/>
      <c r="D8" s="402"/>
      <c r="E8" s="105">
        <v>4569569.76</v>
      </c>
      <c r="F8" s="104">
        <f>E8+'Saldos - 07-2025'!F8</f>
        <v>113041347.99000001</v>
      </c>
    </row>
    <row r="9" spans="2:8" x14ac:dyDescent="0.25">
      <c r="B9" s="401" t="s">
        <v>408</v>
      </c>
      <c r="C9" s="402"/>
      <c r="D9" s="402"/>
      <c r="E9" s="105">
        <v>814947.08</v>
      </c>
      <c r="F9" s="104">
        <f>E9+'Saldos - 07-2025'!F9</f>
        <v>13774002.9</v>
      </c>
    </row>
    <row r="10" spans="2:8" x14ac:dyDescent="0.25">
      <c r="B10" s="401" t="s">
        <v>409</v>
      </c>
      <c r="C10" s="402"/>
      <c r="D10" s="402"/>
      <c r="E10" s="105">
        <v>29714.620000000003</v>
      </c>
      <c r="F10" s="104">
        <f>E10+'Saldos - 07-2025'!F10</f>
        <v>221804.13999999998</v>
      </c>
    </row>
    <row r="11" spans="2:8" x14ac:dyDescent="0.25">
      <c r="B11" s="401" t="s">
        <v>410</v>
      </c>
      <c r="C11" s="402"/>
      <c r="D11" s="402"/>
      <c r="E11" s="105">
        <v>4552.2299999999996</v>
      </c>
      <c r="F11" s="104">
        <f>E11+'Saldos - 07-2025'!F11</f>
        <v>11046.09</v>
      </c>
    </row>
    <row r="12" spans="2:8" x14ac:dyDescent="0.25">
      <c r="B12" s="403" t="s">
        <v>411</v>
      </c>
      <c r="C12" s="404"/>
      <c r="D12" s="404"/>
      <c r="E12" s="107">
        <v>103.93</v>
      </c>
      <c r="F12" s="108">
        <f>E12+'Saldos - 07-2025'!F12</f>
        <v>742.01000000000022</v>
      </c>
    </row>
    <row r="13" spans="2:8" ht="15.75" thickBot="1" x14ac:dyDescent="0.3">
      <c r="B13" s="405" t="s">
        <v>412</v>
      </c>
      <c r="C13" s="406"/>
      <c r="D13" s="406"/>
      <c r="E13" s="110">
        <v>16806471.280000001</v>
      </c>
      <c r="F13" s="111">
        <f>E13+'Saldos - 07-2025'!F13</f>
        <v>503259983.68999994</v>
      </c>
    </row>
    <row r="14" spans="2:8" ht="15.75" thickBot="1" x14ac:dyDescent="0.3">
      <c r="B14" s="399" t="s">
        <v>413</v>
      </c>
      <c r="C14" s="400"/>
      <c r="D14" s="400"/>
      <c r="E14" s="100">
        <f>SUM(E5:E13)</f>
        <v>91500985.060000032</v>
      </c>
      <c r="F14" s="100">
        <f>SUM(F5:F13)</f>
        <v>1225637083.4899998</v>
      </c>
      <c r="H14" s="123"/>
    </row>
    <row r="15" spans="2:8" x14ac:dyDescent="0.25">
      <c r="B15" s="419" t="s">
        <v>414</v>
      </c>
      <c r="C15" s="420"/>
      <c r="D15" s="420"/>
      <c r="E15" s="316">
        <v>-45583.07</v>
      </c>
      <c r="F15" s="317">
        <f>E15+'Saldos - 07-2025'!F15</f>
        <v>-347103.59</v>
      </c>
    </row>
    <row r="16" spans="2:8" x14ac:dyDescent="0.25">
      <c r="B16" s="413" t="s">
        <v>415</v>
      </c>
      <c r="C16" s="414"/>
      <c r="D16" s="414"/>
      <c r="E16" s="318">
        <f>-E12</f>
        <v>-103.93</v>
      </c>
      <c r="F16" s="319">
        <f>E16+'Saldos - 07-2025'!F16</f>
        <v>-742.01000000000022</v>
      </c>
    </row>
    <row r="17" spans="2:8" x14ac:dyDescent="0.25">
      <c r="B17" s="415" t="s">
        <v>439</v>
      </c>
      <c r="C17" s="416"/>
      <c r="D17" s="416"/>
      <c r="E17" s="320">
        <f>-E13</f>
        <v>-16806471.280000001</v>
      </c>
      <c r="F17" s="321">
        <f>E17+'Saldos - 07-2025'!F17</f>
        <v>-503259983.68999994</v>
      </c>
    </row>
    <row r="18" spans="2:8" ht="15.75" thickBot="1" x14ac:dyDescent="0.3">
      <c r="B18" s="417" t="s">
        <v>440</v>
      </c>
      <c r="C18" s="418"/>
      <c r="D18" s="418"/>
      <c r="E18" s="322">
        <v>0</v>
      </c>
      <c r="F18" s="323">
        <v>-164645.69</v>
      </c>
    </row>
    <row r="19" spans="2:8" ht="15.75" thickBot="1" x14ac:dyDescent="0.3">
      <c r="B19" s="399" t="s">
        <v>416</v>
      </c>
      <c r="C19" s="400"/>
      <c r="D19" s="400"/>
      <c r="E19" s="100">
        <f>SUM(E14:E18)</f>
        <v>74648826.780000031</v>
      </c>
      <c r="F19" s="122">
        <f>SUM(F14:F18)</f>
        <v>721864608.50999987</v>
      </c>
      <c r="G19" s="313" t="s">
        <v>927</v>
      </c>
      <c r="H19" s="92"/>
    </row>
    <row r="20" spans="2:8" ht="15.75" thickBot="1" x14ac:dyDescent="0.3">
      <c r="B20" s="124"/>
      <c r="D20" s="125"/>
      <c r="E20" s="126"/>
    </row>
    <row r="21" spans="2:8" ht="15.75" thickBot="1" x14ac:dyDescent="0.3">
      <c r="B21" s="391" t="s">
        <v>417</v>
      </c>
      <c r="C21" s="392"/>
      <c r="D21" s="392"/>
      <c r="E21" s="127" t="s">
        <v>402</v>
      </c>
      <c r="F21" s="128" t="s">
        <v>403</v>
      </c>
    </row>
    <row r="22" spans="2:8" x14ac:dyDescent="0.25">
      <c r="B22" s="393" t="s">
        <v>441</v>
      </c>
      <c r="C22" s="394"/>
      <c r="D22" s="394"/>
      <c r="E22" s="112">
        <v>45583.070000000007</v>
      </c>
      <c r="F22" s="130">
        <f>E22+'Saldos - 07-2025'!F22</f>
        <v>347103.58999999997</v>
      </c>
    </row>
    <row r="23" spans="2:8" x14ac:dyDescent="0.25">
      <c r="B23" s="383" t="s">
        <v>442</v>
      </c>
      <c r="C23" s="384"/>
      <c r="D23" s="384"/>
      <c r="E23" s="109"/>
      <c r="F23" s="131">
        <f>E23+'Saldos - 07-2025'!F23</f>
        <v>103.93</v>
      </c>
    </row>
    <row r="24" spans="2:8" x14ac:dyDescent="0.25">
      <c r="B24" s="383" t="s">
        <v>914</v>
      </c>
      <c r="C24" s="384"/>
      <c r="D24" s="384"/>
      <c r="E24" s="109">
        <v>44039581.230000004</v>
      </c>
      <c r="F24" s="131">
        <f>E24+'Saldos - 07-2025'!F24</f>
        <v>295970670.55000001</v>
      </c>
    </row>
    <row r="25" spans="2:8" x14ac:dyDescent="0.25">
      <c r="B25" s="383" t="s">
        <v>433</v>
      </c>
      <c r="C25" s="384"/>
      <c r="D25" s="384"/>
      <c r="E25" s="109"/>
      <c r="F25" s="131">
        <f>E25+'Saldos - 07-2025'!F25</f>
        <v>34311367.489999995</v>
      </c>
    </row>
    <row r="26" spans="2:8" x14ac:dyDescent="0.25">
      <c r="B26" s="383" t="s">
        <v>447</v>
      </c>
      <c r="C26" s="384"/>
      <c r="D26" s="384"/>
      <c r="E26" s="109"/>
      <c r="F26" s="131">
        <f>E26+'Saldos - 07-2025'!F26</f>
        <v>34175581.810000002</v>
      </c>
    </row>
    <row r="27" spans="2:8" x14ac:dyDescent="0.25">
      <c r="B27" s="383" t="s">
        <v>626</v>
      </c>
      <c r="C27" s="384"/>
      <c r="D27" s="384"/>
      <c r="E27" s="109"/>
      <c r="F27" s="131">
        <f>E27+'Saldos - 07-2025'!F27</f>
        <v>33980887.539999999</v>
      </c>
    </row>
    <row r="28" spans="2:8" x14ac:dyDescent="0.25">
      <c r="B28" s="383" t="s">
        <v>632</v>
      </c>
      <c r="C28" s="384"/>
      <c r="D28" s="384"/>
      <c r="E28" s="109"/>
      <c r="F28" s="131">
        <f>E28+'Saldos - 07-2025'!F28</f>
        <v>35798381.659999996</v>
      </c>
    </row>
    <row r="29" spans="2:8" x14ac:dyDescent="0.25">
      <c r="B29" s="383" t="s">
        <v>915</v>
      </c>
      <c r="C29" s="384"/>
      <c r="D29" s="384"/>
      <c r="E29" s="109"/>
      <c r="F29" s="131">
        <f>E29+'Saldos - 07-2025'!F29</f>
        <v>35751704.669999994</v>
      </c>
    </row>
    <row r="30" spans="2:8" x14ac:dyDescent="0.25">
      <c r="B30" s="383" t="s">
        <v>933</v>
      </c>
      <c r="C30" s="384"/>
      <c r="D30" s="384"/>
      <c r="E30" s="109"/>
      <c r="F30" s="131">
        <f>E30+'Saldos - 07-2025'!F30</f>
        <v>36411167.659999996</v>
      </c>
    </row>
    <row r="31" spans="2:8" x14ac:dyDescent="0.25">
      <c r="B31" s="383" t="s">
        <v>1196</v>
      </c>
      <c r="C31" s="384"/>
      <c r="D31" s="384"/>
      <c r="E31" s="109"/>
      <c r="F31" s="131">
        <f>E31+'Saldos - 07-2025'!F31</f>
        <v>35846109.589999996</v>
      </c>
    </row>
    <row r="32" spans="2:8" x14ac:dyDescent="0.25">
      <c r="B32" s="383" t="s">
        <v>1202</v>
      </c>
      <c r="C32" s="384"/>
      <c r="D32" s="384"/>
      <c r="E32" s="109">
        <v>34911870.949999996</v>
      </c>
      <c r="F32" s="131">
        <f>E32</f>
        <v>34911870.949999996</v>
      </c>
    </row>
    <row r="33" spans="2:9" x14ac:dyDescent="0.25">
      <c r="B33" s="383" t="s">
        <v>1203</v>
      </c>
      <c r="C33" s="384"/>
      <c r="D33" s="384"/>
      <c r="E33" s="109"/>
      <c r="F33" s="131">
        <f>E33+'Saldos - 07-2025'!F32</f>
        <v>34056995.270000003</v>
      </c>
    </row>
    <row r="34" spans="2:9" x14ac:dyDescent="0.25">
      <c r="B34" s="383" t="s">
        <v>1204</v>
      </c>
      <c r="C34" s="384"/>
      <c r="D34" s="384"/>
      <c r="E34" s="109"/>
      <c r="F34" s="131">
        <f>E34+'Saldos - 07-2025'!F33</f>
        <v>31778758.699999996</v>
      </c>
    </row>
    <row r="35" spans="2:9" x14ac:dyDescent="0.25">
      <c r="B35" s="383" t="s">
        <v>1205</v>
      </c>
      <c r="C35" s="384"/>
      <c r="D35" s="384"/>
      <c r="E35" s="109"/>
      <c r="F35" s="131">
        <f>E35+'Saldos - 07-2025'!F34</f>
        <v>164645.69</v>
      </c>
    </row>
    <row r="36" spans="2:9" x14ac:dyDescent="0.25">
      <c r="B36" s="383" t="s">
        <v>1206</v>
      </c>
      <c r="C36" s="384"/>
      <c r="D36" s="384"/>
      <c r="E36" s="116"/>
      <c r="F36" s="131">
        <f>E36+'Saldos - 07-2025'!F35</f>
        <v>4005.3599999999997</v>
      </c>
    </row>
    <row r="37" spans="2:9" x14ac:dyDescent="0.25">
      <c r="B37" s="383" t="s">
        <v>1207</v>
      </c>
      <c r="C37" s="384"/>
      <c r="D37" s="384"/>
      <c r="E37" s="116"/>
      <c r="F37" s="131">
        <f>E37+'Saldos - 07-2025'!F36</f>
        <v>40474.149999999994</v>
      </c>
    </row>
    <row r="38" spans="2:9" x14ac:dyDescent="0.25">
      <c r="B38" s="387" t="s">
        <v>451</v>
      </c>
      <c r="C38" s="388"/>
      <c r="D38" s="388"/>
      <c r="E38" s="134">
        <v>16.489999999999998</v>
      </c>
      <c r="F38" s="135">
        <f>E38+'Saldos - 07-2025'!F37</f>
        <v>7571.2</v>
      </c>
      <c r="H38" s="123"/>
    </row>
    <row r="39" spans="2:9" ht="15.75" thickBot="1" x14ac:dyDescent="0.3">
      <c r="B39" s="389" t="s">
        <v>444</v>
      </c>
      <c r="C39" s="390"/>
      <c r="D39" s="390"/>
      <c r="E39" s="136">
        <v>12503933.32</v>
      </c>
      <c r="F39" s="137">
        <f>E39+'Saldos - 07-2025'!F38</f>
        <v>582079683.68000007</v>
      </c>
      <c r="H39" s="123"/>
      <c r="I39" s="123"/>
    </row>
    <row r="40" spans="2:9" ht="15.75" thickBot="1" x14ac:dyDescent="0.3">
      <c r="B40" s="391" t="s">
        <v>418</v>
      </c>
      <c r="C40" s="392"/>
      <c r="D40" s="392"/>
      <c r="E40" s="127">
        <f>SUM(E22:E39)</f>
        <v>91500985.060000002</v>
      </c>
      <c r="F40" s="138">
        <f>SUM(F22:F39)</f>
        <v>1225637083.4900002</v>
      </c>
      <c r="G40" s="313" t="s">
        <v>927</v>
      </c>
      <c r="H40" s="123"/>
      <c r="I40" s="123"/>
    </row>
    <row r="41" spans="2:9" x14ac:dyDescent="0.25">
      <c r="B41" s="374" t="s">
        <v>419</v>
      </c>
      <c r="C41" s="375"/>
      <c r="D41" s="376"/>
      <c r="E41" s="112">
        <f>-E22</f>
        <v>-45583.070000000007</v>
      </c>
      <c r="F41" s="139">
        <f>E41+'Saldos - 07-2025'!F40</f>
        <v>-347103.58999999997</v>
      </c>
      <c r="H41" s="94"/>
      <c r="I41" s="94"/>
    </row>
    <row r="42" spans="2:9" x14ac:dyDescent="0.25">
      <c r="B42" s="377" t="s">
        <v>420</v>
      </c>
      <c r="C42" s="378"/>
      <c r="D42" s="379"/>
      <c r="E42" s="118">
        <f>-E39</f>
        <v>-12503933.32</v>
      </c>
      <c r="F42" s="247">
        <f>E42+'Saldos - 07-2025'!F41</f>
        <v>-582079683.68000007</v>
      </c>
      <c r="I42" s="94"/>
    </row>
    <row r="43" spans="2:9" x14ac:dyDescent="0.25">
      <c r="B43" s="367" t="s">
        <v>454</v>
      </c>
      <c r="C43" s="368"/>
      <c r="D43" s="368"/>
      <c r="E43" s="109">
        <v>-103.93</v>
      </c>
      <c r="F43" s="246">
        <f>E43+'Saldos - 07-2025'!F42</f>
        <v>-630.83000000000015</v>
      </c>
    </row>
    <row r="44" spans="2:9" x14ac:dyDescent="0.25">
      <c r="B44" s="380" t="s">
        <v>453</v>
      </c>
      <c r="C44" s="381"/>
      <c r="D44" s="382"/>
      <c r="E44" s="134">
        <f>-E38</f>
        <v>-16.489999999999998</v>
      </c>
      <c r="F44" s="245">
        <f>E44+'Saldos - 07-2025'!F43</f>
        <v>-7571.2</v>
      </c>
      <c r="H44" s="178"/>
    </row>
    <row r="45" spans="2:9" x14ac:dyDescent="0.25">
      <c r="B45" s="383" t="s">
        <v>423</v>
      </c>
      <c r="C45" s="384"/>
      <c r="D45" s="384"/>
      <c r="E45" s="116"/>
      <c r="F45" s="246">
        <f>E45+'Saldos - 07-2025'!F44</f>
        <v>-69976153.25999999</v>
      </c>
      <c r="H45" s="123"/>
    </row>
    <row r="46" spans="2:9" x14ac:dyDescent="0.25">
      <c r="B46" s="383" t="s">
        <v>455</v>
      </c>
      <c r="C46" s="384"/>
      <c r="D46" s="384"/>
      <c r="E46" s="116"/>
      <c r="F46" s="246">
        <f>E46+'Saldos - 07-2025'!F45</f>
        <v>-164645.69</v>
      </c>
      <c r="H46" s="178"/>
      <c r="I46" s="123"/>
    </row>
    <row r="47" spans="2:9" x14ac:dyDescent="0.25">
      <c r="B47" s="383" t="s">
        <v>458</v>
      </c>
      <c r="C47" s="384"/>
      <c r="D47" s="384"/>
      <c r="E47" s="116"/>
      <c r="F47" s="246">
        <f>E47+'Saldos - 07-2025'!F46</f>
        <v>-40474.149999999994</v>
      </c>
      <c r="H47" s="178"/>
    </row>
    <row r="48" spans="2:9" ht="15.75" customHeight="1" x14ac:dyDescent="0.25">
      <c r="B48" s="367" t="s">
        <v>456</v>
      </c>
      <c r="C48" s="368"/>
      <c r="D48" s="368"/>
      <c r="E48" s="116">
        <v>12683.430000007153</v>
      </c>
      <c r="F48" s="246">
        <f>E48+'Saldos - 07-2025'!F47</f>
        <v>70084234.520000011</v>
      </c>
      <c r="H48" s="123"/>
    </row>
    <row r="49" spans="2:9" ht="15.75" customHeight="1" x14ac:dyDescent="0.25">
      <c r="B49" s="367" t="s">
        <v>921</v>
      </c>
      <c r="C49" s="368"/>
      <c r="D49" s="368"/>
      <c r="E49" s="116"/>
      <c r="F49" s="246">
        <f>E49+'Saldos - 07-2025'!F48</f>
        <v>-667.56</v>
      </c>
    </row>
    <row r="50" spans="2:9" ht="15.75" customHeight="1" x14ac:dyDescent="0.25">
      <c r="B50" s="367" t="s">
        <v>922</v>
      </c>
      <c r="C50" s="368"/>
      <c r="D50" s="368"/>
      <c r="E50" s="116"/>
      <c r="F50" s="246">
        <f>E50+'Saldos - 07-2025'!F49</f>
        <v>667.56</v>
      </c>
      <c r="H50" s="123"/>
    </row>
    <row r="51" spans="2:9" x14ac:dyDescent="0.25">
      <c r="B51" s="367" t="s">
        <v>923</v>
      </c>
      <c r="C51" s="368"/>
      <c r="D51" s="368"/>
      <c r="E51" s="116"/>
      <c r="F51" s="246">
        <f>E51+'Saldos - 07-2025'!F50</f>
        <v>333.78</v>
      </c>
      <c r="H51" s="123"/>
    </row>
    <row r="52" spans="2:9" ht="15.75" thickBot="1" x14ac:dyDescent="0.3">
      <c r="B52" s="369" t="s">
        <v>424</v>
      </c>
      <c r="C52" s="369"/>
      <c r="D52" s="370"/>
      <c r="E52" s="145">
        <f>SUM(E40:E51)</f>
        <v>78964031.680000022</v>
      </c>
      <c r="F52" s="146">
        <f>SUM(F40:F51)</f>
        <v>643105389.3900001</v>
      </c>
      <c r="H52" s="123"/>
      <c r="I52" s="123"/>
    </row>
    <row r="53" spans="2:9" x14ac:dyDescent="0.25">
      <c r="B53" s="124"/>
      <c r="D53" s="125"/>
      <c r="E53" s="147"/>
      <c r="F53" s="123"/>
      <c r="H53" s="123"/>
    </row>
    <row r="54" spans="2:9" x14ac:dyDescent="0.25">
      <c r="B54" s="371" t="s">
        <v>425</v>
      </c>
      <c r="C54" s="372"/>
      <c r="D54" s="373"/>
      <c r="E54" s="148"/>
      <c r="F54" s="123"/>
    </row>
    <row r="55" spans="2:9" x14ac:dyDescent="0.25">
      <c r="B55" s="364" t="s">
        <v>426</v>
      </c>
      <c r="C55" s="365"/>
      <c r="D55" s="366"/>
      <c r="E55" s="149">
        <v>104361194.38</v>
      </c>
      <c r="F55" s="123"/>
    </row>
    <row r="56" spans="2:9" x14ac:dyDescent="0.25">
      <c r="B56" s="364" t="s">
        <v>427</v>
      </c>
      <c r="C56" s="365"/>
      <c r="D56" s="366"/>
      <c r="E56" s="150">
        <v>12503933.32</v>
      </c>
    </row>
    <row r="57" spans="2:9" x14ac:dyDescent="0.25">
      <c r="B57" s="364" t="s">
        <v>428</v>
      </c>
      <c r="C57" s="365"/>
      <c r="D57" s="366"/>
      <c r="E57" s="149">
        <v>16806471.280000001</v>
      </c>
    </row>
    <row r="58" spans="2:9" x14ac:dyDescent="0.25">
      <c r="B58" s="364" t="s">
        <v>429</v>
      </c>
      <c r="C58" s="365"/>
      <c r="D58" s="366"/>
      <c r="E58" s="149">
        <v>956265.43</v>
      </c>
      <c r="F58" s="94"/>
    </row>
    <row r="59" spans="2:9" x14ac:dyDescent="0.25">
      <c r="B59" s="364" t="s">
        <v>430</v>
      </c>
      <c r="C59" s="365"/>
      <c r="D59" s="366"/>
      <c r="E59" s="151">
        <f>E55+E56-E57+E58</f>
        <v>101014921.84999999</v>
      </c>
      <c r="F59" s="123"/>
    </row>
    <row r="60" spans="2:9" x14ac:dyDescent="0.25">
      <c r="B60" s="152"/>
      <c r="C60" s="93"/>
      <c r="D60" s="93"/>
      <c r="E60" s="153"/>
    </row>
  </sheetData>
  <mergeCells count="54">
    <mergeCell ref="B56:D56"/>
    <mergeCell ref="B57:D57"/>
    <mergeCell ref="B58:D58"/>
    <mergeCell ref="B59:D59"/>
    <mergeCell ref="B31:D31"/>
    <mergeCell ref="B32:D32"/>
    <mergeCell ref="B49:D49"/>
    <mergeCell ref="B50:D50"/>
    <mergeCell ref="B51:D51"/>
    <mergeCell ref="B52:D52"/>
    <mergeCell ref="B54:D54"/>
    <mergeCell ref="B55:D55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6:D36"/>
    <mergeCell ref="B23:D23"/>
    <mergeCell ref="B24:D24"/>
    <mergeCell ref="B25:D25"/>
    <mergeCell ref="B26:D26"/>
    <mergeCell ref="B27:D27"/>
    <mergeCell ref="B28:D28"/>
    <mergeCell ref="B29:D29"/>
    <mergeCell ref="B30:D30"/>
    <mergeCell ref="B33:D33"/>
    <mergeCell ref="B34:D34"/>
    <mergeCell ref="B35:D35"/>
    <mergeCell ref="B22:D22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1:D21"/>
    <mergeCell ref="B9:D9"/>
    <mergeCell ref="B2:F2"/>
    <mergeCell ref="B5:D5"/>
    <mergeCell ref="B6:D6"/>
    <mergeCell ref="B7:D7"/>
    <mergeCell ref="B8:D8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AB1F-4FF9-4879-ADF3-66BB6C976131}">
  <sheetPr filterMode="1"/>
  <dimension ref="A2:F58"/>
  <sheetViews>
    <sheetView workbookViewId="0">
      <selection activeCell="C2" sqref="C2"/>
    </sheetView>
  </sheetViews>
  <sheetFormatPr defaultRowHeight="15" x14ac:dyDescent="0.25"/>
  <cols>
    <col min="1" max="1" width="12.7109375" customWidth="1"/>
    <col min="2" max="2" width="27" customWidth="1"/>
    <col min="3" max="3" width="15.28515625" style="1" bestFit="1" customWidth="1"/>
    <col min="4" max="4" width="3.42578125" customWidth="1"/>
    <col min="5" max="5" width="35.7109375" bestFit="1" customWidth="1"/>
    <col min="6" max="6" width="14.7109375" style="2" bestFit="1" customWidth="1"/>
  </cols>
  <sheetData>
    <row r="2" spans="1:6" x14ac:dyDescent="0.25">
      <c r="C2" s="225">
        <f>SUBTOTAL(9,C4:C58)</f>
        <v>34911870.949999996</v>
      </c>
    </row>
    <row r="3" spans="1:6" x14ac:dyDescent="0.25">
      <c r="A3" s="272" t="s">
        <v>2</v>
      </c>
      <c r="B3" s="272" t="s">
        <v>3</v>
      </c>
      <c r="C3" s="274" t="s">
        <v>4</v>
      </c>
      <c r="D3" s="272" t="s">
        <v>5</v>
      </c>
      <c r="E3" s="272" t="s">
        <v>889</v>
      </c>
      <c r="F3" s="185" t="s">
        <v>517</v>
      </c>
    </row>
    <row r="4" spans="1:6" hidden="1" x14ac:dyDescent="0.25">
      <c r="A4" s="6" t="s">
        <v>950</v>
      </c>
      <c r="B4" s="6" t="s">
        <v>30</v>
      </c>
      <c r="C4" s="7">
        <v>22403.66</v>
      </c>
      <c r="D4" s="6" t="s">
        <v>7</v>
      </c>
      <c r="E4" s="6" t="s">
        <v>42</v>
      </c>
      <c r="F4" s="5"/>
    </row>
    <row r="5" spans="1:6" hidden="1" x14ac:dyDescent="0.25">
      <c r="A5" s="6" t="s">
        <v>950</v>
      </c>
      <c r="B5" s="6" t="s">
        <v>10</v>
      </c>
      <c r="C5" s="7">
        <v>399686.14</v>
      </c>
      <c r="D5" s="6" t="s">
        <v>7</v>
      </c>
      <c r="E5" s="6" t="s">
        <v>42</v>
      </c>
      <c r="F5" s="5"/>
    </row>
    <row r="6" spans="1:6" hidden="1" x14ac:dyDescent="0.25">
      <c r="A6" s="6" t="s">
        <v>950</v>
      </c>
      <c r="B6" s="6" t="s">
        <v>12</v>
      </c>
      <c r="C6" s="7">
        <v>933102.97</v>
      </c>
      <c r="D6" s="6" t="s">
        <v>7</v>
      </c>
      <c r="E6" s="6" t="s">
        <v>42</v>
      </c>
      <c r="F6" s="5"/>
    </row>
    <row r="7" spans="1:6" hidden="1" x14ac:dyDescent="0.25">
      <c r="A7" s="16" t="s">
        <v>950</v>
      </c>
      <c r="B7" s="16" t="s">
        <v>17</v>
      </c>
      <c r="C7" s="17">
        <v>1355192.77</v>
      </c>
      <c r="D7" s="16" t="s">
        <v>16</v>
      </c>
      <c r="E7" s="16" t="s">
        <v>44</v>
      </c>
      <c r="F7" s="15"/>
    </row>
    <row r="8" spans="1:6" hidden="1" x14ac:dyDescent="0.25">
      <c r="A8" s="6" t="s">
        <v>951</v>
      </c>
      <c r="B8" s="6" t="s">
        <v>11</v>
      </c>
      <c r="C8" s="7">
        <v>201.73</v>
      </c>
      <c r="D8" s="6" t="s">
        <v>7</v>
      </c>
      <c r="E8" s="6" t="s">
        <v>42</v>
      </c>
      <c r="F8" s="5"/>
    </row>
    <row r="9" spans="1:6" hidden="1" x14ac:dyDescent="0.25">
      <c r="A9" s="6" t="s">
        <v>951</v>
      </c>
      <c r="B9" s="6" t="s">
        <v>13</v>
      </c>
      <c r="C9" s="7">
        <v>1274642.98</v>
      </c>
      <c r="D9" s="6" t="s">
        <v>7</v>
      </c>
      <c r="E9" s="6" t="s">
        <v>42</v>
      </c>
      <c r="F9" s="5"/>
    </row>
    <row r="10" spans="1:6" hidden="1" x14ac:dyDescent="0.25">
      <c r="A10" s="6" t="s">
        <v>951</v>
      </c>
      <c r="B10" s="6" t="s">
        <v>13</v>
      </c>
      <c r="C10" s="7">
        <v>2963169.87</v>
      </c>
      <c r="D10" s="6" t="s">
        <v>7</v>
      </c>
      <c r="E10" s="6" t="s">
        <v>42</v>
      </c>
      <c r="F10" s="5"/>
    </row>
    <row r="11" spans="1:6" hidden="1" x14ac:dyDescent="0.25">
      <c r="A11" s="6" t="s">
        <v>951</v>
      </c>
      <c r="B11" s="6" t="s">
        <v>13</v>
      </c>
      <c r="C11" s="7">
        <v>33511742.379999999</v>
      </c>
      <c r="D11" s="6" t="s">
        <v>7</v>
      </c>
      <c r="E11" s="6" t="s">
        <v>42</v>
      </c>
      <c r="F11" s="5"/>
    </row>
    <row r="12" spans="1:6" hidden="1" x14ac:dyDescent="0.25">
      <c r="A12" s="6" t="s">
        <v>951</v>
      </c>
      <c r="B12" s="6" t="s">
        <v>13</v>
      </c>
      <c r="C12" s="7">
        <v>14995.77</v>
      </c>
      <c r="D12" s="6" t="s">
        <v>7</v>
      </c>
      <c r="E12" s="6" t="s">
        <v>42</v>
      </c>
      <c r="F12" s="5"/>
    </row>
    <row r="13" spans="1:6" hidden="1" x14ac:dyDescent="0.25">
      <c r="A13" s="11" t="s">
        <v>951</v>
      </c>
      <c r="B13" s="11" t="s">
        <v>14</v>
      </c>
      <c r="C13" s="13">
        <v>26384.57</v>
      </c>
      <c r="D13" s="11" t="s">
        <v>7</v>
      </c>
      <c r="E13" s="11" t="s">
        <v>1060</v>
      </c>
      <c r="F13" s="12"/>
    </row>
    <row r="14" spans="1:6" hidden="1" x14ac:dyDescent="0.25">
      <c r="A14" s="6" t="s">
        <v>951</v>
      </c>
      <c r="B14" s="6" t="s">
        <v>14</v>
      </c>
      <c r="C14" s="7">
        <v>15307.02</v>
      </c>
      <c r="D14" s="6" t="s">
        <v>7</v>
      </c>
      <c r="E14" s="6" t="s">
        <v>42</v>
      </c>
      <c r="F14" s="5"/>
    </row>
    <row r="15" spans="1:6" hidden="1" x14ac:dyDescent="0.25">
      <c r="A15" s="25" t="s">
        <v>951</v>
      </c>
      <c r="B15" s="25" t="s">
        <v>49</v>
      </c>
      <c r="C15" s="26">
        <v>103.93</v>
      </c>
      <c r="D15" s="25" t="s">
        <v>7</v>
      </c>
      <c r="E15" s="179" t="s">
        <v>1061</v>
      </c>
      <c r="F15" s="180" t="s">
        <v>1015</v>
      </c>
    </row>
    <row r="16" spans="1:6" hidden="1" x14ac:dyDescent="0.25">
      <c r="A16" s="11" t="s">
        <v>951</v>
      </c>
      <c r="B16" s="11" t="s">
        <v>15</v>
      </c>
      <c r="C16" s="13">
        <v>26384.57</v>
      </c>
      <c r="D16" s="11" t="s">
        <v>16</v>
      </c>
      <c r="E16" s="11" t="s">
        <v>1060</v>
      </c>
      <c r="F16" s="12"/>
    </row>
    <row r="17" spans="1:6" hidden="1" x14ac:dyDescent="0.25">
      <c r="A17" s="9" t="s">
        <v>951</v>
      </c>
      <c r="B17" s="9" t="s">
        <v>50</v>
      </c>
      <c r="C17" s="10">
        <v>25894511.27</v>
      </c>
      <c r="D17" s="9" t="s">
        <v>16</v>
      </c>
      <c r="E17" s="9" t="s">
        <v>66</v>
      </c>
      <c r="F17" s="8" t="s">
        <v>1014</v>
      </c>
    </row>
    <row r="18" spans="1:6" hidden="1" x14ac:dyDescent="0.25">
      <c r="A18" s="9" t="s">
        <v>951</v>
      </c>
      <c r="B18" s="9" t="s">
        <v>50</v>
      </c>
      <c r="C18" s="10">
        <v>18077541.43</v>
      </c>
      <c r="D18" s="9" t="s">
        <v>16</v>
      </c>
      <c r="E18" s="9" t="s">
        <v>66</v>
      </c>
      <c r="F18" s="8" t="s">
        <v>1041</v>
      </c>
    </row>
    <row r="19" spans="1:6" hidden="1" x14ac:dyDescent="0.25">
      <c r="A19" s="16" t="s">
        <v>951</v>
      </c>
      <c r="B19" s="16" t="s">
        <v>20</v>
      </c>
      <c r="C19" s="17">
        <v>6191889.0199999996</v>
      </c>
      <c r="D19" s="16" t="s">
        <v>7</v>
      </c>
      <c r="E19" s="16" t="s">
        <v>1059</v>
      </c>
      <c r="F19" s="15"/>
    </row>
    <row r="20" spans="1:6" hidden="1" x14ac:dyDescent="0.25">
      <c r="A20" s="6" t="s">
        <v>952</v>
      </c>
      <c r="B20" s="6" t="s">
        <v>30</v>
      </c>
      <c r="C20" s="7">
        <v>2436.63</v>
      </c>
      <c r="D20" s="6" t="s">
        <v>7</v>
      </c>
      <c r="E20" s="6" t="s">
        <v>42</v>
      </c>
      <c r="F20" s="5"/>
    </row>
    <row r="21" spans="1:6" hidden="1" x14ac:dyDescent="0.25">
      <c r="A21" s="6" t="s">
        <v>952</v>
      </c>
      <c r="B21" s="6" t="s">
        <v>10</v>
      </c>
      <c r="C21" s="7">
        <v>203809.33</v>
      </c>
      <c r="D21" s="6" t="s">
        <v>7</v>
      </c>
      <c r="E21" s="6" t="s">
        <v>42</v>
      </c>
      <c r="F21" s="5"/>
    </row>
    <row r="22" spans="1:6" hidden="1" x14ac:dyDescent="0.25">
      <c r="A22" s="6" t="s">
        <v>952</v>
      </c>
      <c r="B22" s="6" t="s">
        <v>12</v>
      </c>
      <c r="C22" s="7">
        <v>2180672</v>
      </c>
      <c r="D22" s="6" t="s">
        <v>7</v>
      </c>
      <c r="E22" s="6" t="s">
        <v>42</v>
      </c>
      <c r="F22" s="5"/>
    </row>
    <row r="23" spans="1:6" hidden="1" x14ac:dyDescent="0.25">
      <c r="A23" s="16" t="s">
        <v>952</v>
      </c>
      <c r="B23" s="16" t="s">
        <v>17</v>
      </c>
      <c r="C23" s="17">
        <v>2386917.96</v>
      </c>
      <c r="D23" s="16" t="s">
        <v>16</v>
      </c>
      <c r="E23" s="16" t="s">
        <v>44</v>
      </c>
      <c r="F23" s="15"/>
    </row>
    <row r="24" spans="1:6" hidden="1" x14ac:dyDescent="0.25">
      <c r="A24" s="9" t="s">
        <v>953</v>
      </c>
      <c r="B24" s="9" t="s">
        <v>50</v>
      </c>
      <c r="C24" s="10">
        <v>67528.53</v>
      </c>
      <c r="D24" s="9" t="s">
        <v>16</v>
      </c>
      <c r="E24" s="9" t="s">
        <v>66</v>
      </c>
      <c r="F24" s="8" t="s">
        <v>1055</v>
      </c>
    </row>
    <row r="25" spans="1:6" hidden="1" x14ac:dyDescent="0.25">
      <c r="A25" s="16" t="s">
        <v>953</v>
      </c>
      <c r="B25" s="16" t="s">
        <v>20</v>
      </c>
      <c r="C25" s="17">
        <v>67528.53</v>
      </c>
      <c r="D25" s="16" t="s">
        <v>7</v>
      </c>
      <c r="E25" s="16" t="s">
        <v>1059</v>
      </c>
      <c r="F25" s="15"/>
    </row>
    <row r="26" spans="1:6" hidden="1" x14ac:dyDescent="0.25">
      <c r="A26" s="6" t="s">
        <v>954</v>
      </c>
      <c r="B26" s="6" t="s">
        <v>30</v>
      </c>
      <c r="C26" s="7">
        <v>4874.33</v>
      </c>
      <c r="D26" s="6" t="s">
        <v>7</v>
      </c>
      <c r="E26" s="6" t="s">
        <v>42</v>
      </c>
      <c r="F26" s="5"/>
    </row>
    <row r="27" spans="1:6" hidden="1" x14ac:dyDescent="0.25">
      <c r="A27" s="6" t="s">
        <v>954</v>
      </c>
      <c r="B27" s="6" t="s">
        <v>10</v>
      </c>
      <c r="C27" s="7">
        <v>211451.61</v>
      </c>
      <c r="D27" s="6" t="s">
        <v>7</v>
      </c>
      <c r="E27" s="6" t="s">
        <v>42</v>
      </c>
      <c r="F27" s="5"/>
    </row>
    <row r="28" spans="1:6" hidden="1" x14ac:dyDescent="0.25">
      <c r="A28" s="6" t="s">
        <v>954</v>
      </c>
      <c r="B28" s="6" t="s">
        <v>12</v>
      </c>
      <c r="C28" s="7">
        <v>1455794.79</v>
      </c>
      <c r="D28" s="6" t="s">
        <v>7</v>
      </c>
      <c r="E28" s="6" t="s">
        <v>42</v>
      </c>
      <c r="F28" s="5"/>
    </row>
    <row r="29" spans="1:6" hidden="1" x14ac:dyDescent="0.25">
      <c r="A29" s="16" t="s">
        <v>954</v>
      </c>
      <c r="B29" s="16" t="s">
        <v>17</v>
      </c>
      <c r="C29" s="17">
        <v>1672120.73</v>
      </c>
      <c r="D29" s="16" t="s">
        <v>16</v>
      </c>
      <c r="E29" s="16" t="s">
        <v>44</v>
      </c>
      <c r="F29" s="15"/>
    </row>
    <row r="30" spans="1:6" hidden="1" x14ac:dyDescent="0.25">
      <c r="A30" s="6" t="s">
        <v>955</v>
      </c>
      <c r="B30" s="6" t="s">
        <v>11</v>
      </c>
      <c r="C30" s="7">
        <v>9.39</v>
      </c>
      <c r="D30" s="6" t="s">
        <v>7</v>
      </c>
      <c r="E30" s="6" t="s">
        <v>42</v>
      </c>
      <c r="F30" s="5"/>
    </row>
    <row r="31" spans="1:6" hidden="1" x14ac:dyDescent="0.25">
      <c r="A31" s="6" t="s">
        <v>955</v>
      </c>
      <c r="B31" s="6" t="s">
        <v>13</v>
      </c>
      <c r="C31" s="7">
        <v>240603.28</v>
      </c>
      <c r="D31" s="6" t="s">
        <v>7</v>
      </c>
      <c r="E31" s="6" t="s">
        <v>42</v>
      </c>
      <c r="F31" s="5"/>
    </row>
    <row r="32" spans="1:6" hidden="1" x14ac:dyDescent="0.25">
      <c r="A32" s="6" t="s">
        <v>955</v>
      </c>
      <c r="B32" s="6" t="s">
        <v>13</v>
      </c>
      <c r="C32" s="7">
        <v>559331.89</v>
      </c>
      <c r="D32" s="6" t="s">
        <v>7</v>
      </c>
      <c r="E32" s="6" t="s">
        <v>42</v>
      </c>
      <c r="F32" s="5"/>
    </row>
    <row r="33" spans="1:6" hidden="1" x14ac:dyDescent="0.25">
      <c r="A33" s="6" t="s">
        <v>955</v>
      </c>
      <c r="B33" s="6" t="s">
        <v>13</v>
      </c>
      <c r="C33" s="7">
        <v>6281143.2000000002</v>
      </c>
      <c r="D33" s="6" t="s">
        <v>7</v>
      </c>
      <c r="E33" s="6" t="s">
        <v>42</v>
      </c>
      <c r="F33" s="5"/>
    </row>
    <row r="34" spans="1:6" hidden="1" x14ac:dyDescent="0.25">
      <c r="A34" s="6" t="s">
        <v>955</v>
      </c>
      <c r="B34" s="6" t="s">
        <v>13</v>
      </c>
      <c r="C34" s="7">
        <v>2830.59</v>
      </c>
      <c r="D34" s="6" t="s">
        <v>7</v>
      </c>
      <c r="E34" s="6" t="s">
        <v>42</v>
      </c>
      <c r="F34" s="5"/>
    </row>
    <row r="35" spans="1:6" hidden="1" x14ac:dyDescent="0.25">
      <c r="A35" s="11" t="s">
        <v>955</v>
      </c>
      <c r="B35" s="11" t="s">
        <v>14</v>
      </c>
      <c r="C35" s="13">
        <v>9968.98</v>
      </c>
      <c r="D35" s="11" t="s">
        <v>7</v>
      </c>
      <c r="E35" s="11" t="s">
        <v>1060</v>
      </c>
      <c r="F35" s="12"/>
    </row>
    <row r="36" spans="1:6" hidden="1" x14ac:dyDescent="0.25">
      <c r="A36" s="6" t="s">
        <v>955</v>
      </c>
      <c r="B36" s="6" t="s">
        <v>14</v>
      </c>
      <c r="C36" s="7">
        <v>5783.51</v>
      </c>
      <c r="D36" s="6" t="s">
        <v>7</v>
      </c>
      <c r="E36" s="6" t="s">
        <v>42</v>
      </c>
      <c r="F36" s="5"/>
    </row>
    <row r="37" spans="1:6" hidden="1" x14ac:dyDescent="0.25">
      <c r="A37" s="11" t="s">
        <v>955</v>
      </c>
      <c r="B37" s="11" t="s">
        <v>15</v>
      </c>
      <c r="C37" s="13">
        <v>9968.98</v>
      </c>
      <c r="D37" s="11" t="s">
        <v>16</v>
      </c>
      <c r="E37" s="11" t="s">
        <v>1060</v>
      </c>
      <c r="F37" s="12"/>
    </row>
    <row r="38" spans="1:6" hidden="1" x14ac:dyDescent="0.25">
      <c r="A38" s="16" t="s">
        <v>955</v>
      </c>
      <c r="B38" s="16" t="s">
        <v>17</v>
      </c>
      <c r="C38" s="17">
        <v>7089701.8600000003</v>
      </c>
      <c r="D38" s="16" t="s">
        <v>16</v>
      </c>
      <c r="E38" s="16" t="s">
        <v>44</v>
      </c>
      <c r="F38" s="15"/>
    </row>
    <row r="39" spans="1:6" x14ac:dyDescent="0.25">
      <c r="A39" s="9" t="s">
        <v>956</v>
      </c>
      <c r="B39" s="9" t="s">
        <v>50</v>
      </c>
      <c r="C39" s="10">
        <v>326706.28000000003</v>
      </c>
      <c r="D39" s="9" t="s">
        <v>16</v>
      </c>
      <c r="E39" s="9" t="s">
        <v>1063</v>
      </c>
      <c r="F39" s="8"/>
    </row>
    <row r="40" spans="1:6" hidden="1" x14ac:dyDescent="0.25">
      <c r="A40" s="16" t="s">
        <v>956</v>
      </c>
      <c r="B40" s="16" t="s">
        <v>20</v>
      </c>
      <c r="C40" s="17">
        <v>326706.28000000003</v>
      </c>
      <c r="D40" s="16" t="s">
        <v>7</v>
      </c>
      <c r="E40" s="16" t="s">
        <v>1059</v>
      </c>
      <c r="F40" s="15"/>
    </row>
    <row r="41" spans="1:6" hidden="1" x14ac:dyDescent="0.25">
      <c r="A41" s="6" t="s">
        <v>957</v>
      </c>
      <c r="B41" s="6" t="s">
        <v>11</v>
      </c>
      <c r="C41" s="7">
        <v>4341.1099999999997</v>
      </c>
      <c r="D41" s="6" t="s">
        <v>7</v>
      </c>
      <c r="E41" s="6" t="s">
        <v>42</v>
      </c>
      <c r="F41" s="5"/>
    </row>
    <row r="42" spans="1:6" hidden="1" x14ac:dyDescent="0.25">
      <c r="A42" s="6" t="s">
        <v>957</v>
      </c>
      <c r="B42" s="6" t="s">
        <v>13</v>
      </c>
      <c r="C42" s="7">
        <v>824676.46</v>
      </c>
      <c r="D42" s="6" t="s">
        <v>7</v>
      </c>
      <c r="E42" s="6" t="s">
        <v>42</v>
      </c>
      <c r="F42" s="5"/>
    </row>
    <row r="43" spans="1:6" hidden="1" x14ac:dyDescent="0.25">
      <c r="A43" s="6" t="s">
        <v>957</v>
      </c>
      <c r="B43" s="6" t="s">
        <v>13</v>
      </c>
      <c r="C43" s="7">
        <v>1917130.08</v>
      </c>
      <c r="D43" s="6" t="s">
        <v>7</v>
      </c>
      <c r="E43" s="6" t="s">
        <v>42</v>
      </c>
      <c r="F43" s="5"/>
    </row>
    <row r="44" spans="1:6" hidden="1" x14ac:dyDescent="0.25">
      <c r="A44" s="6" t="s">
        <v>957</v>
      </c>
      <c r="B44" s="6" t="s">
        <v>13</v>
      </c>
      <c r="C44" s="7">
        <v>21603629.52</v>
      </c>
      <c r="D44" s="6" t="s">
        <v>7</v>
      </c>
      <c r="E44" s="6" t="s">
        <v>42</v>
      </c>
      <c r="F44" s="5"/>
    </row>
    <row r="45" spans="1:6" hidden="1" x14ac:dyDescent="0.25">
      <c r="A45" s="6" t="s">
        <v>957</v>
      </c>
      <c r="B45" s="6" t="s">
        <v>13</v>
      </c>
      <c r="C45" s="7">
        <v>9702.0400000000009</v>
      </c>
      <c r="D45" s="6" t="s">
        <v>7</v>
      </c>
      <c r="E45" s="6" t="s">
        <v>42</v>
      </c>
      <c r="F45" s="5"/>
    </row>
    <row r="46" spans="1:6" hidden="1" x14ac:dyDescent="0.25">
      <c r="A46" s="11" t="s">
        <v>957</v>
      </c>
      <c r="B46" s="11" t="s">
        <v>14</v>
      </c>
      <c r="C46" s="13">
        <v>9229.52</v>
      </c>
      <c r="D46" s="11" t="s">
        <v>7</v>
      </c>
      <c r="E46" s="11" t="s">
        <v>1060</v>
      </c>
      <c r="F46" s="12"/>
    </row>
    <row r="47" spans="1:6" hidden="1" x14ac:dyDescent="0.25">
      <c r="A47" s="6" t="s">
        <v>957</v>
      </c>
      <c r="B47" s="6" t="s">
        <v>14</v>
      </c>
      <c r="C47" s="7">
        <v>5354.5</v>
      </c>
      <c r="D47" s="6" t="s">
        <v>7</v>
      </c>
      <c r="E47" s="6" t="s">
        <v>42</v>
      </c>
      <c r="F47" s="5"/>
    </row>
    <row r="48" spans="1:6" hidden="1" x14ac:dyDescent="0.25">
      <c r="A48" s="11" t="s">
        <v>957</v>
      </c>
      <c r="B48" s="11" t="s">
        <v>15</v>
      </c>
      <c r="C48" s="13">
        <v>9229.52</v>
      </c>
      <c r="D48" s="11" t="s">
        <v>16</v>
      </c>
      <c r="E48" s="11" t="s">
        <v>1060</v>
      </c>
      <c r="F48" s="12"/>
    </row>
    <row r="49" spans="1:6" x14ac:dyDescent="0.25">
      <c r="A49" s="9" t="s">
        <v>957</v>
      </c>
      <c r="B49" s="9" t="s">
        <v>22</v>
      </c>
      <c r="C49" s="10">
        <v>33152856.07</v>
      </c>
      <c r="D49" s="9" t="s">
        <v>16</v>
      </c>
      <c r="E49" s="9" t="s">
        <v>1063</v>
      </c>
      <c r="F49" s="8"/>
    </row>
    <row r="50" spans="1:6" x14ac:dyDescent="0.25">
      <c r="A50" s="9" t="s">
        <v>957</v>
      </c>
      <c r="B50" s="9" t="s">
        <v>22</v>
      </c>
      <c r="C50" s="10">
        <v>552605.62</v>
      </c>
      <c r="D50" s="9" t="s">
        <v>16</v>
      </c>
      <c r="E50" s="9" t="s">
        <v>1063</v>
      </c>
      <c r="F50" s="8"/>
    </row>
    <row r="51" spans="1:6" x14ac:dyDescent="0.25">
      <c r="A51" s="9" t="s">
        <v>957</v>
      </c>
      <c r="B51" s="9" t="s">
        <v>22</v>
      </c>
      <c r="C51" s="10">
        <v>264566.68</v>
      </c>
      <c r="D51" s="9" t="s">
        <v>16</v>
      </c>
      <c r="E51" s="9" t="s">
        <v>1063</v>
      </c>
      <c r="F51" s="8"/>
    </row>
    <row r="52" spans="1:6" x14ac:dyDescent="0.25">
      <c r="A52" s="9" t="s">
        <v>957</v>
      </c>
      <c r="B52" s="9" t="s">
        <v>22</v>
      </c>
      <c r="C52" s="10">
        <v>694.48</v>
      </c>
      <c r="D52" s="9" t="s">
        <v>16</v>
      </c>
      <c r="E52" s="9" t="s">
        <v>1063</v>
      </c>
      <c r="F52" s="8"/>
    </row>
    <row r="53" spans="1:6" x14ac:dyDescent="0.25">
      <c r="A53" s="9" t="s">
        <v>957</v>
      </c>
      <c r="B53" s="9" t="s">
        <v>22</v>
      </c>
      <c r="C53" s="10">
        <v>15374.74</v>
      </c>
      <c r="D53" s="9" t="s">
        <v>16</v>
      </c>
      <c r="E53" s="9" t="s">
        <v>1063</v>
      </c>
      <c r="F53" s="8"/>
    </row>
    <row r="54" spans="1:6" x14ac:dyDescent="0.25">
      <c r="A54" s="9" t="s">
        <v>957</v>
      </c>
      <c r="B54" s="9" t="s">
        <v>22</v>
      </c>
      <c r="C54" s="10">
        <v>586497.61</v>
      </c>
      <c r="D54" s="9" t="s">
        <v>16</v>
      </c>
      <c r="E54" s="9" t="s">
        <v>1063</v>
      </c>
      <c r="F54" s="8"/>
    </row>
    <row r="55" spans="1:6" x14ac:dyDescent="0.25">
      <c r="A55" s="9" t="s">
        <v>957</v>
      </c>
      <c r="B55" s="9" t="s">
        <v>37</v>
      </c>
      <c r="C55" s="10">
        <v>12569.47</v>
      </c>
      <c r="D55" s="9" t="s">
        <v>16</v>
      </c>
      <c r="E55" s="9" t="s">
        <v>1063</v>
      </c>
      <c r="F55" s="8"/>
    </row>
    <row r="56" spans="1:6" hidden="1" x14ac:dyDescent="0.25">
      <c r="A56" s="19" t="s">
        <v>957</v>
      </c>
      <c r="B56" s="19" t="s">
        <v>24</v>
      </c>
      <c r="C56" s="20">
        <v>12.56</v>
      </c>
      <c r="D56" s="19" t="s">
        <v>16</v>
      </c>
      <c r="E56" s="19" t="s">
        <v>45</v>
      </c>
      <c r="F56" s="18"/>
    </row>
    <row r="57" spans="1:6" hidden="1" x14ac:dyDescent="0.25">
      <c r="A57" s="19" t="s">
        <v>957</v>
      </c>
      <c r="B57" s="19" t="s">
        <v>24</v>
      </c>
      <c r="C57" s="20">
        <v>3.93</v>
      </c>
      <c r="D57" s="19" t="s">
        <v>16</v>
      </c>
      <c r="E57" s="19" t="s">
        <v>45</v>
      </c>
      <c r="F57" s="18"/>
    </row>
    <row r="58" spans="1:6" hidden="1" x14ac:dyDescent="0.25">
      <c r="A58" s="16" t="s">
        <v>957</v>
      </c>
      <c r="B58" s="16" t="s">
        <v>20</v>
      </c>
      <c r="C58" s="17">
        <v>10220347.449999999</v>
      </c>
      <c r="D58" s="16" t="s">
        <v>7</v>
      </c>
      <c r="E58" s="16" t="s">
        <v>1059</v>
      </c>
      <c r="F58" s="15"/>
    </row>
  </sheetData>
  <autoFilter ref="A3:F58" xr:uid="{CBBEAB1F-4FF9-4879-ADF3-66BB6C976131}">
    <filterColumn colId="3">
      <filters>
        <filter val="D"/>
      </filters>
    </filterColumn>
    <filterColumn colId="4">
      <filters>
        <filter val="Folha de Agosto/2025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473-CCB4-4533-A942-A39805C5DC2A}">
  <dimension ref="A3:G58"/>
  <sheetViews>
    <sheetView zoomScaleNormal="100" workbookViewId="0">
      <selection activeCell="E42" sqref="E42"/>
    </sheetView>
  </sheetViews>
  <sheetFormatPr defaultRowHeight="15" x14ac:dyDescent="0.2"/>
  <cols>
    <col min="1" max="1" width="17.85546875" style="333" customWidth="1"/>
    <col min="2" max="2" width="17" style="333" customWidth="1"/>
    <col min="3" max="3" width="49.42578125" style="333" customWidth="1"/>
    <col min="4" max="4" width="17.5703125" style="333" bestFit="1" customWidth="1"/>
    <col min="5" max="5" width="27.42578125" style="333" customWidth="1"/>
    <col min="6" max="6" width="18.5703125" style="344" customWidth="1"/>
    <col min="7" max="7" width="15.7109375" style="333" customWidth="1"/>
    <col min="8" max="249" width="9.140625" style="333"/>
    <col min="250" max="251" width="11" style="333" bestFit="1" customWidth="1"/>
    <col min="252" max="252" width="34.140625" style="333" customWidth="1"/>
    <col min="253" max="253" width="13" style="333" bestFit="1" customWidth="1"/>
    <col min="254" max="254" width="14" style="333" bestFit="1" customWidth="1"/>
    <col min="255" max="256" width="13" style="333" bestFit="1" customWidth="1"/>
    <col min="257" max="257" width="14" style="333" bestFit="1" customWidth="1"/>
    <col min="258" max="259" width="13" style="333" bestFit="1" customWidth="1"/>
    <col min="260" max="260" width="16" style="333" customWidth="1"/>
    <col min="261" max="505" width="9.140625" style="333"/>
    <col min="506" max="507" width="11" style="333" bestFit="1" customWidth="1"/>
    <col min="508" max="508" width="34.140625" style="333" customWidth="1"/>
    <col min="509" max="509" width="13" style="333" bestFit="1" customWidth="1"/>
    <col min="510" max="510" width="14" style="333" bestFit="1" customWidth="1"/>
    <col min="511" max="512" width="13" style="333" bestFit="1" customWidth="1"/>
    <col min="513" max="513" width="14" style="333" bestFit="1" customWidth="1"/>
    <col min="514" max="515" width="13" style="333" bestFit="1" customWidth="1"/>
    <col min="516" max="516" width="16" style="333" customWidth="1"/>
    <col min="517" max="761" width="9.140625" style="333"/>
    <col min="762" max="763" width="11" style="333" bestFit="1" customWidth="1"/>
    <col min="764" max="764" width="34.140625" style="333" customWidth="1"/>
    <col min="765" max="765" width="13" style="333" bestFit="1" customWidth="1"/>
    <col min="766" max="766" width="14" style="333" bestFit="1" customWidth="1"/>
    <col min="767" max="768" width="13" style="333" bestFit="1" customWidth="1"/>
    <col min="769" max="769" width="14" style="333" bestFit="1" customWidth="1"/>
    <col min="770" max="771" width="13" style="333" bestFit="1" customWidth="1"/>
    <col min="772" max="772" width="16" style="333" customWidth="1"/>
    <col min="773" max="1017" width="9.140625" style="333"/>
    <col min="1018" max="1019" width="11" style="333" bestFit="1" customWidth="1"/>
    <col min="1020" max="1020" width="34.140625" style="333" customWidth="1"/>
    <col min="1021" max="1021" width="13" style="333" bestFit="1" customWidth="1"/>
    <col min="1022" max="1022" width="14" style="333" bestFit="1" customWidth="1"/>
    <col min="1023" max="1024" width="13" style="333" bestFit="1" customWidth="1"/>
    <col min="1025" max="1025" width="14" style="333" bestFit="1" customWidth="1"/>
    <col min="1026" max="1027" width="13" style="333" bestFit="1" customWidth="1"/>
    <col min="1028" max="1028" width="16" style="333" customWidth="1"/>
    <col min="1029" max="1273" width="9.140625" style="333"/>
    <col min="1274" max="1275" width="11" style="333" bestFit="1" customWidth="1"/>
    <col min="1276" max="1276" width="34.140625" style="333" customWidth="1"/>
    <col min="1277" max="1277" width="13" style="333" bestFit="1" customWidth="1"/>
    <col min="1278" max="1278" width="14" style="333" bestFit="1" customWidth="1"/>
    <col min="1279" max="1280" width="13" style="333" bestFit="1" customWidth="1"/>
    <col min="1281" max="1281" width="14" style="333" bestFit="1" customWidth="1"/>
    <col min="1282" max="1283" width="13" style="333" bestFit="1" customWidth="1"/>
    <col min="1284" max="1284" width="16" style="333" customWidth="1"/>
    <col min="1285" max="1529" width="9.140625" style="333"/>
    <col min="1530" max="1531" width="11" style="333" bestFit="1" customWidth="1"/>
    <col min="1532" max="1532" width="34.140625" style="333" customWidth="1"/>
    <col min="1533" max="1533" width="13" style="333" bestFit="1" customWidth="1"/>
    <col min="1534" max="1534" width="14" style="333" bestFit="1" customWidth="1"/>
    <col min="1535" max="1536" width="13" style="333" bestFit="1" customWidth="1"/>
    <col min="1537" max="1537" width="14" style="333" bestFit="1" customWidth="1"/>
    <col min="1538" max="1539" width="13" style="333" bestFit="1" customWidth="1"/>
    <col min="1540" max="1540" width="16" style="333" customWidth="1"/>
    <col min="1541" max="1785" width="9.140625" style="333"/>
    <col min="1786" max="1787" width="11" style="333" bestFit="1" customWidth="1"/>
    <col min="1788" max="1788" width="34.140625" style="333" customWidth="1"/>
    <col min="1789" max="1789" width="13" style="333" bestFit="1" customWidth="1"/>
    <col min="1790" max="1790" width="14" style="333" bestFit="1" customWidth="1"/>
    <col min="1791" max="1792" width="13" style="333" bestFit="1" customWidth="1"/>
    <col min="1793" max="1793" width="14" style="333" bestFit="1" customWidth="1"/>
    <col min="1794" max="1795" width="13" style="333" bestFit="1" customWidth="1"/>
    <col min="1796" max="1796" width="16" style="333" customWidth="1"/>
    <col min="1797" max="2041" width="9.140625" style="333"/>
    <col min="2042" max="2043" width="11" style="333" bestFit="1" customWidth="1"/>
    <col min="2044" max="2044" width="34.140625" style="333" customWidth="1"/>
    <col min="2045" max="2045" width="13" style="333" bestFit="1" customWidth="1"/>
    <col min="2046" max="2046" width="14" style="333" bestFit="1" customWidth="1"/>
    <col min="2047" max="2048" width="13" style="333" bestFit="1" customWidth="1"/>
    <col min="2049" max="2049" width="14" style="333" bestFit="1" customWidth="1"/>
    <col min="2050" max="2051" width="13" style="333" bestFit="1" customWidth="1"/>
    <col min="2052" max="2052" width="16" style="333" customWidth="1"/>
    <col min="2053" max="2297" width="9.140625" style="333"/>
    <col min="2298" max="2299" width="11" style="333" bestFit="1" customWidth="1"/>
    <col min="2300" max="2300" width="34.140625" style="333" customWidth="1"/>
    <col min="2301" max="2301" width="13" style="333" bestFit="1" customWidth="1"/>
    <col min="2302" max="2302" width="14" style="333" bestFit="1" customWidth="1"/>
    <col min="2303" max="2304" width="13" style="333" bestFit="1" customWidth="1"/>
    <col min="2305" max="2305" width="14" style="333" bestFit="1" customWidth="1"/>
    <col min="2306" max="2307" width="13" style="333" bestFit="1" customWidth="1"/>
    <col min="2308" max="2308" width="16" style="333" customWidth="1"/>
    <col min="2309" max="2553" width="9.140625" style="333"/>
    <col min="2554" max="2555" width="11" style="333" bestFit="1" customWidth="1"/>
    <col min="2556" max="2556" width="34.140625" style="333" customWidth="1"/>
    <col min="2557" max="2557" width="13" style="333" bestFit="1" customWidth="1"/>
    <col min="2558" max="2558" width="14" style="333" bestFit="1" customWidth="1"/>
    <col min="2559" max="2560" width="13" style="333" bestFit="1" customWidth="1"/>
    <col min="2561" max="2561" width="14" style="333" bestFit="1" customWidth="1"/>
    <col min="2562" max="2563" width="13" style="333" bestFit="1" customWidth="1"/>
    <col min="2564" max="2564" width="16" style="333" customWidth="1"/>
    <col min="2565" max="2809" width="9.140625" style="333"/>
    <col min="2810" max="2811" width="11" style="333" bestFit="1" customWidth="1"/>
    <col min="2812" max="2812" width="34.140625" style="333" customWidth="1"/>
    <col min="2813" max="2813" width="13" style="333" bestFit="1" customWidth="1"/>
    <col min="2814" max="2814" width="14" style="333" bestFit="1" customWidth="1"/>
    <col min="2815" max="2816" width="13" style="333" bestFit="1" customWidth="1"/>
    <col min="2817" max="2817" width="14" style="333" bestFit="1" customWidth="1"/>
    <col min="2818" max="2819" width="13" style="333" bestFit="1" customWidth="1"/>
    <col min="2820" max="2820" width="16" style="333" customWidth="1"/>
    <col min="2821" max="3065" width="9.140625" style="333"/>
    <col min="3066" max="3067" width="11" style="333" bestFit="1" customWidth="1"/>
    <col min="3068" max="3068" width="34.140625" style="333" customWidth="1"/>
    <col min="3069" max="3069" width="13" style="333" bestFit="1" customWidth="1"/>
    <col min="3070" max="3070" width="14" style="333" bestFit="1" customWidth="1"/>
    <col min="3071" max="3072" width="13" style="333" bestFit="1" customWidth="1"/>
    <col min="3073" max="3073" width="14" style="333" bestFit="1" customWidth="1"/>
    <col min="3074" max="3075" width="13" style="333" bestFit="1" customWidth="1"/>
    <col min="3076" max="3076" width="16" style="333" customWidth="1"/>
    <col min="3077" max="3321" width="9.140625" style="333"/>
    <col min="3322" max="3323" width="11" style="333" bestFit="1" customWidth="1"/>
    <col min="3324" max="3324" width="34.140625" style="333" customWidth="1"/>
    <col min="3325" max="3325" width="13" style="333" bestFit="1" customWidth="1"/>
    <col min="3326" max="3326" width="14" style="333" bestFit="1" customWidth="1"/>
    <col min="3327" max="3328" width="13" style="333" bestFit="1" customWidth="1"/>
    <col min="3329" max="3329" width="14" style="333" bestFit="1" customWidth="1"/>
    <col min="3330" max="3331" width="13" style="333" bestFit="1" customWidth="1"/>
    <col min="3332" max="3332" width="16" style="333" customWidth="1"/>
    <col min="3333" max="3577" width="9.140625" style="333"/>
    <col min="3578" max="3579" width="11" style="333" bestFit="1" customWidth="1"/>
    <col min="3580" max="3580" width="34.140625" style="333" customWidth="1"/>
    <col min="3581" max="3581" width="13" style="333" bestFit="1" customWidth="1"/>
    <col min="3582" max="3582" width="14" style="333" bestFit="1" customWidth="1"/>
    <col min="3583" max="3584" width="13" style="333" bestFit="1" customWidth="1"/>
    <col min="3585" max="3585" width="14" style="333" bestFit="1" customWidth="1"/>
    <col min="3586" max="3587" width="13" style="333" bestFit="1" customWidth="1"/>
    <col min="3588" max="3588" width="16" style="333" customWidth="1"/>
    <col min="3589" max="3833" width="9.140625" style="333"/>
    <col min="3834" max="3835" width="11" style="333" bestFit="1" customWidth="1"/>
    <col min="3836" max="3836" width="34.140625" style="333" customWidth="1"/>
    <col min="3837" max="3837" width="13" style="333" bestFit="1" customWidth="1"/>
    <col min="3838" max="3838" width="14" style="333" bestFit="1" customWidth="1"/>
    <col min="3839" max="3840" width="13" style="333" bestFit="1" customWidth="1"/>
    <col min="3841" max="3841" width="14" style="333" bestFit="1" customWidth="1"/>
    <col min="3842" max="3843" width="13" style="333" bestFit="1" customWidth="1"/>
    <col min="3844" max="3844" width="16" style="333" customWidth="1"/>
    <col min="3845" max="4089" width="9.140625" style="333"/>
    <col min="4090" max="4091" width="11" style="333" bestFit="1" customWidth="1"/>
    <col min="4092" max="4092" width="34.140625" style="333" customWidth="1"/>
    <col min="4093" max="4093" width="13" style="333" bestFit="1" customWidth="1"/>
    <col min="4094" max="4094" width="14" style="333" bestFit="1" customWidth="1"/>
    <col min="4095" max="4096" width="13" style="333" bestFit="1" customWidth="1"/>
    <col min="4097" max="4097" width="14" style="333" bestFit="1" customWidth="1"/>
    <col min="4098" max="4099" width="13" style="333" bestFit="1" customWidth="1"/>
    <col min="4100" max="4100" width="16" style="333" customWidth="1"/>
    <col min="4101" max="4345" width="9.140625" style="333"/>
    <col min="4346" max="4347" width="11" style="333" bestFit="1" customWidth="1"/>
    <col min="4348" max="4348" width="34.140625" style="333" customWidth="1"/>
    <col min="4349" max="4349" width="13" style="333" bestFit="1" customWidth="1"/>
    <col min="4350" max="4350" width="14" style="333" bestFit="1" customWidth="1"/>
    <col min="4351" max="4352" width="13" style="333" bestFit="1" customWidth="1"/>
    <col min="4353" max="4353" width="14" style="333" bestFit="1" customWidth="1"/>
    <col min="4354" max="4355" width="13" style="333" bestFit="1" customWidth="1"/>
    <col min="4356" max="4356" width="16" style="333" customWidth="1"/>
    <col min="4357" max="4601" width="9.140625" style="333"/>
    <col min="4602" max="4603" width="11" style="333" bestFit="1" customWidth="1"/>
    <col min="4604" max="4604" width="34.140625" style="333" customWidth="1"/>
    <col min="4605" max="4605" width="13" style="333" bestFit="1" customWidth="1"/>
    <col min="4606" max="4606" width="14" style="333" bestFit="1" customWidth="1"/>
    <col min="4607" max="4608" width="13" style="333" bestFit="1" customWidth="1"/>
    <col min="4609" max="4609" width="14" style="333" bestFit="1" customWidth="1"/>
    <col min="4610" max="4611" width="13" style="333" bestFit="1" customWidth="1"/>
    <col min="4612" max="4612" width="16" style="333" customWidth="1"/>
    <col min="4613" max="4857" width="9.140625" style="333"/>
    <col min="4858" max="4859" width="11" style="333" bestFit="1" customWidth="1"/>
    <col min="4860" max="4860" width="34.140625" style="333" customWidth="1"/>
    <col min="4861" max="4861" width="13" style="333" bestFit="1" customWidth="1"/>
    <col min="4862" max="4862" width="14" style="333" bestFit="1" customWidth="1"/>
    <col min="4863" max="4864" width="13" style="333" bestFit="1" customWidth="1"/>
    <col min="4865" max="4865" width="14" style="333" bestFit="1" customWidth="1"/>
    <col min="4866" max="4867" width="13" style="333" bestFit="1" customWidth="1"/>
    <col min="4868" max="4868" width="16" style="333" customWidth="1"/>
    <col min="4869" max="5113" width="9.140625" style="333"/>
    <col min="5114" max="5115" width="11" style="333" bestFit="1" customWidth="1"/>
    <col min="5116" max="5116" width="34.140625" style="333" customWidth="1"/>
    <col min="5117" max="5117" width="13" style="333" bestFit="1" customWidth="1"/>
    <col min="5118" max="5118" width="14" style="333" bestFit="1" customWidth="1"/>
    <col min="5119" max="5120" width="13" style="333" bestFit="1" customWidth="1"/>
    <col min="5121" max="5121" width="14" style="333" bestFit="1" customWidth="1"/>
    <col min="5122" max="5123" width="13" style="333" bestFit="1" customWidth="1"/>
    <col min="5124" max="5124" width="16" style="333" customWidth="1"/>
    <col min="5125" max="5369" width="9.140625" style="333"/>
    <col min="5370" max="5371" width="11" style="333" bestFit="1" customWidth="1"/>
    <col min="5372" max="5372" width="34.140625" style="333" customWidth="1"/>
    <col min="5373" max="5373" width="13" style="333" bestFit="1" customWidth="1"/>
    <col min="5374" max="5374" width="14" style="333" bestFit="1" customWidth="1"/>
    <col min="5375" max="5376" width="13" style="333" bestFit="1" customWidth="1"/>
    <col min="5377" max="5377" width="14" style="333" bestFit="1" customWidth="1"/>
    <col min="5378" max="5379" width="13" style="333" bestFit="1" customWidth="1"/>
    <col min="5380" max="5380" width="16" style="333" customWidth="1"/>
    <col min="5381" max="5625" width="9.140625" style="333"/>
    <col min="5626" max="5627" width="11" style="333" bestFit="1" customWidth="1"/>
    <col min="5628" max="5628" width="34.140625" style="333" customWidth="1"/>
    <col min="5629" max="5629" width="13" style="333" bestFit="1" customWidth="1"/>
    <col min="5630" max="5630" width="14" style="333" bestFit="1" customWidth="1"/>
    <col min="5631" max="5632" width="13" style="333" bestFit="1" customWidth="1"/>
    <col min="5633" max="5633" width="14" style="333" bestFit="1" customWidth="1"/>
    <col min="5634" max="5635" width="13" style="333" bestFit="1" customWidth="1"/>
    <col min="5636" max="5636" width="16" style="333" customWidth="1"/>
    <col min="5637" max="5881" width="9.140625" style="333"/>
    <col min="5882" max="5883" width="11" style="333" bestFit="1" customWidth="1"/>
    <col min="5884" max="5884" width="34.140625" style="333" customWidth="1"/>
    <col min="5885" max="5885" width="13" style="333" bestFit="1" customWidth="1"/>
    <col min="5886" max="5886" width="14" style="333" bestFit="1" customWidth="1"/>
    <col min="5887" max="5888" width="13" style="333" bestFit="1" customWidth="1"/>
    <col min="5889" max="5889" width="14" style="333" bestFit="1" customWidth="1"/>
    <col min="5890" max="5891" width="13" style="333" bestFit="1" customWidth="1"/>
    <col min="5892" max="5892" width="16" style="333" customWidth="1"/>
    <col min="5893" max="6137" width="9.140625" style="333"/>
    <col min="6138" max="6139" width="11" style="333" bestFit="1" customWidth="1"/>
    <col min="6140" max="6140" width="34.140625" style="333" customWidth="1"/>
    <col min="6141" max="6141" width="13" style="333" bestFit="1" customWidth="1"/>
    <col min="6142" max="6142" width="14" style="333" bestFit="1" customWidth="1"/>
    <col min="6143" max="6144" width="13" style="333" bestFit="1" customWidth="1"/>
    <col min="6145" max="6145" width="14" style="333" bestFit="1" customWidth="1"/>
    <col min="6146" max="6147" width="13" style="333" bestFit="1" customWidth="1"/>
    <col min="6148" max="6148" width="16" style="333" customWidth="1"/>
    <col min="6149" max="6393" width="9.140625" style="333"/>
    <col min="6394" max="6395" width="11" style="333" bestFit="1" customWidth="1"/>
    <col min="6396" max="6396" width="34.140625" style="333" customWidth="1"/>
    <col min="6397" max="6397" width="13" style="333" bestFit="1" customWidth="1"/>
    <col min="6398" max="6398" width="14" style="333" bestFit="1" customWidth="1"/>
    <col min="6399" max="6400" width="13" style="333" bestFit="1" customWidth="1"/>
    <col min="6401" max="6401" width="14" style="333" bestFit="1" customWidth="1"/>
    <col min="6402" max="6403" width="13" style="333" bestFit="1" customWidth="1"/>
    <col min="6404" max="6404" width="16" style="333" customWidth="1"/>
    <col min="6405" max="6649" width="9.140625" style="333"/>
    <col min="6650" max="6651" width="11" style="333" bestFit="1" customWidth="1"/>
    <col min="6652" max="6652" width="34.140625" style="333" customWidth="1"/>
    <col min="6653" max="6653" width="13" style="333" bestFit="1" customWidth="1"/>
    <col min="6654" max="6654" width="14" style="333" bestFit="1" customWidth="1"/>
    <col min="6655" max="6656" width="13" style="333" bestFit="1" customWidth="1"/>
    <col min="6657" max="6657" width="14" style="333" bestFit="1" customWidth="1"/>
    <col min="6658" max="6659" width="13" style="333" bestFit="1" customWidth="1"/>
    <col min="6660" max="6660" width="16" style="333" customWidth="1"/>
    <col min="6661" max="6905" width="9.140625" style="333"/>
    <col min="6906" max="6907" width="11" style="333" bestFit="1" customWidth="1"/>
    <col min="6908" max="6908" width="34.140625" style="333" customWidth="1"/>
    <col min="6909" max="6909" width="13" style="333" bestFit="1" customWidth="1"/>
    <col min="6910" max="6910" width="14" style="333" bestFit="1" customWidth="1"/>
    <col min="6911" max="6912" width="13" style="333" bestFit="1" customWidth="1"/>
    <col min="6913" max="6913" width="14" style="333" bestFit="1" customWidth="1"/>
    <col min="6914" max="6915" width="13" style="333" bestFit="1" customWidth="1"/>
    <col min="6916" max="6916" width="16" style="333" customWidth="1"/>
    <col min="6917" max="7161" width="9.140625" style="333"/>
    <col min="7162" max="7163" width="11" style="333" bestFit="1" customWidth="1"/>
    <col min="7164" max="7164" width="34.140625" style="333" customWidth="1"/>
    <col min="7165" max="7165" width="13" style="333" bestFit="1" customWidth="1"/>
    <col min="7166" max="7166" width="14" style="333" bestFit="1" customWidth="1"/>
    <col min="7167" max="7168" width="13" style="333" bestFit="1" customWidth="1"/>
    <col min="7169" max="7169" width="14" style="333" bestFit="1" customWidth="1"/>
    <col min="7170" max="7171" width="13" style="333" bestFit="1" customWidth="1"/>
    <col min="7172" max="7172" width="16" style="333" customWidth="1"/>
    <col min="7173" max="7417" width="9.140625" style="333"/>
    <col min="7418" max="7419" width="11" style="333" bestFit="1" customWidth="1"/>
    <col min="7420" max="7420" width="34.140625" style="333" customWidth="1"/>
    <col min="7421" max="7421" width="13" style="333" bestFit="1" customWidth="1"/>
    <col min="7422" max="7422" width="14" style="333" bestFit="1" customWidth="1"/>
    <col min="7423" max="7424" width="13" style="333" bestFit="1" customWidth="1"/>
    <col min="7425" max="7425" width="14" style="333" bestFit="1" customWidth="1"/>
    <col min="7426" max="7427" width="13" style="333" bestFit="1" customWidth="1"/>
    <col min="7428" max="7428" width="16" style="333" customWidth="1"/>
    <col min="7429" max="7673" width="9.140625" style="333"/>
    <col min="7674" max="7675" width="11" style="333" bestFit="1" customWidth="1"/>
    <col min="7676" max="7676" width="34.140625" style="333" customWidth="1"/>
    <col min="7677" max="7677" width="13" style="333" bestFit="1" customWidth="1"/>
    <col min="7678" max="7678" width="14" style="333" bestFit="1" customWidth="1"/>
    <col min="7679" max="7680" width="13" style="333" bestFit="1" customWidth="1"/>
    <col min="7681" max="7681" width="14" style="333" bestFit="1" customWidth="1"/>
    <col min="7682" max="7683" width="13" style="333" bestFit="1" customWidth="1"/>
    <col min="7684" max="7684" width="16" style="333" customWidth="1"/>
    <col min="7685" max="7929" width="9.140625" style="333"/>
    <col min="7930" max="7931" width="11" style="333" bestFit="1" customWidth="1"/>
    <col min="7932" max="7932" width="34.140625" style="333" customWidth="1"/>
    <col min="7933" max="7933" width="13" style="333" bestFit="1" customWidth="1"/>
    <col min="7934" max="7934" width="14" style="333" bestFit="1" customWidth="1"/>
    <col min="7935" max="7936" width="13" style="333" bestFit="1" customWidth="1"/>
    <col min="7937" max="7937" width="14" style="333" bestFit="1" customWidth="1"/>
    <col min="7938" max="7939" width="13" style="333" bestFit="1" customWidth="1"/>
    <col min="7940" max="7940" width="16" style="333" customWidth="1"/>
    <col min="7941" max="8185" width="9.140625" style="333"/>
    <col min="8186" max="8187" width="11" style="333" bestFit="1" customWidth="1"/>
    <col min="8188" max="8188" width="34.140625" style="333" customWidth="1"/>
    <col min="8189" max="8189" width="13" style="333" bestFit="1" customWidth="1"/>
    <col min="8190" max="8190" width="14" style="333" bestFit="1" customWidth="1"/>
    <col min="8191" max="8192" width="13" style="333" bestFit="1" customWidth="1"/>
    <col min="8193" max="8193" width="14" style="333" bestFit="1" customWidth="1"/>
    <col min="8194" max="8195" width="13" style="333" bestFit="1" customWidth="1"/>
    <col min="8196" max="8196" width="16" style="333" customWidth="1"/>
    <col min="8197" max="8441" width="9.140625" style="333"/>
    <col min="8442" max="8443" width="11" style="333" bestFit="1" customWidth="1"/>
    <col min="8444" max="8444" width="34.140625" style="333" customWidth="1"/>
    <col min="8445" max="8445" width="13" style="333" bestFit="1" customWidth="1"/>
    <col min="8446" max="8446" width="14" style="333" bestFit="1" customWidth="1"/>
    <col min="8447" max="8448" width="13" style="333" bestFit="1" customWidth="1"/>
    <col min="8449" max="8449" width="14" style="333" bestFit="1" customWidth="1"/>
    <col min="8450" max="8451" width="13" style="333" bestFit="1" customWidth="1"/>
    <col min="8452" max="8452" width="16" style="333" customWidth="1"/>
    <col min="8453" max="8697" width="9.140625" style="333"/>
    <col min="8698" max="8699" width="11" style="333" bestFit="1" customWidth="1"/>
    <col min="8700" max="8700" width="34.140625" style="333" customWidth="1"/>
    <col min="8701" max="8701" width="13" style="333" bestFit="1" customWidth="1"/>
    <col min="8702" max="8702" width="14" style="333" bestFit="1" customWidth="1"/>
    <col min="8703" max="8704" width="13" style="333" bestFit="1" customWidth="1"/>
    <col min="8705" max="8705" width="14" style="333" bestFit="1" customWidth="1"/>
    <col min="8706" max="8707" width="13" style="333" bestFit="1" customWidth="1"/>
    <col min="8708" max="8708" width="16" style="333" customWidth="1"/>
    <col min="8709" max="8953" width="9.140625" style="333"/>
    <col min="8954" max="8955" width="11" style="333" bestFit="1" customWidth="1"/>
    <col min="8956" max="8956" width="34.140625" style="333" customWidth="1"/>
    <col min="8957" max="8957" width="13" style="333" bestFit="1" customWidth="1"/>
    <col min="8958" max="8958" width="14" style="333" bestFit="1" customWidth="1"/>
    <col min="8959" max="8960" width="13" style="333" bestFit="1" customWidth="1"/>
    <col min="8961" max="8961" width="14" style="333" bestFit="1" customWidth="1"/>
    <col min="8962" max="8963" width="13" style="333" bestFit="1" customWidth="1"/>
    <col min="8964" max="8964" width="16" style="333" customWidth="1"/>
    <col min="8965" max="9209" width="9.140625" style="333"/>
    <col min="9210" max="9211" width="11" style="333" bestFit="1" customWidth="1"/>
    <col min="9212" max="9212" width="34.140625" style="333" customWidth="1"/>
    <col min="9213" max="9213" width="13" style="333" bestFit="1" customWidth="1"/>
    <col min="9214" max="9214" width="14" style="333" bestFit="1" customWidth="1"/>
    <col min="9215" max="9216" width="13" style="333" bestFit="1" customWidth="1"/>
    <col min="9217" max="9217" width="14" style="333" bestFit="1" customWidth="1"/>
    <col min="9218" max="9219" width="13" style="333" bestFit="1" customWidth="1"/>
    <col min="9220" max="9220" width="16" style="333" customWidth="1"/>
    <col min="9221" max="9465" width="9.140625" style="333"/>
    <col min="9466" max="9467" width="11" style="333" bestFit="1" customWidth="1"/>
    <col min="9468" max="9468" width="34.140625" style="333" customWidth="1"/>
    <col min="9469" max="9469" width="13" style="333" bestFit="1" customWidth="1"/>
    <col min="9470" max="9470" width="14" style="333" bestFit="1" customWidth="1"/>
    <col min="9471" max="9472" width="13" style="333" bestFit="1" customWidth="1"/>
    <col min="9473" max="9473" width="14" style="333" bestFit="1" customWidth="1"/>
    <col min="9474" max="9475" width="13" style="333" bestFit="1" customWidth="1"/>
    <col min="9476" max="9476" width="16" style="333" customWidth="1"/>
    <col min="9477" max="9721" width="9.140625" style="333"/>
    <col min="9722" max="9723" width="11" style="333" bestFit="1" customWidth="1"/>
    <col min="9724" max="9724" width="34.140625" style="333" customWidth="1"/>
    <col min="9725" max="9725" width="13" style="333" bestFit="1" customWidth="1"/>
    <col min="9726" max="9726" width="14" style="333" bestFit="1" customWidth="1"/>
    <col min="9727" max="9728" width="13" style="333" bestFit="1" customWidth="1"/>
    <col min="9729" max="9729" width="14" style="333" bestFit="1" customWidth="1"/>
    <col min="9730" max="9731" width="13" style="333" bestFit="1" customWidth="1"/>
    <col min="9732" max="9732" width="16" style="333" customWidth="1"/>
    <col min="9733" max="9977" width="9.140625" style="333"/>
    <col min="9978" max="9979" width="11" style="333" bestFit="1" customWidth="1"/>
    <col min="9980" max="9980" width="34.140625" style="333" customWidth="1"/>
    <col min="9981" max="9981" width="13" style="333" bestFit="1" customWidth="1"/>
    <col min="9982" max="9982" width="14" style="333" bestFit="1" customWidth="1"/>
    <col min="9983" max="9984" width="13" style="333" bestFit="1" customWidth="1"/>
    <col min="9985" max="9985" width="14" style="333" bestFit="1" customWidth="1"/>
    <col min="9986" max="9987" width="13" style="333" bestFit="1" customWidth="1"/>
    <col min="9988" max="9988" width="16" style="333" customWidth="1"/>
    <col min="9989" max="10233" width="9.140625" style="333"/>
    <col min="10234" max="10235" width="11" style="333" bestFit="1" customWidth="1"/>
    <col min="10236" max="10236" width="34.140625" style="333" customWidth="1"/>
    <col min="10237" max="10237" width="13" style="333" bestFit="1" customWidth="1"/>
    <col min="10238" max="10238" width="14" style="333" bestFit="1" customWidth="1"/>
    <col min="10239" max="10240" width="13" style="333" bestFit="1" customWidth="1"/>
    <col min="10241" max="10241" width="14" style="333" bestFit="1" customWidth="1"/>
    <col min="10242" max="10243" width="13" style="333" bestFit="1" customWidth="1"/>
    <col min="10244" max="10244" width="16" style="333" customWidth="1"/>
    <col min="10245" max="10489" width="9.140625" style="333"/>
    <col min="10490" max="10491" width="11" style="333" bestFit="1" customWidth="1"/>
    <col min="10492" max="10492" width="34.140625" style="333" customWidth="1"/>
    <col min="10493" max="10493" width="13" style="333" bestFit="1" customWidth="1"/>
    <col min="10494" max="10494" width="14" style="333" bestFit="1" customWidth="1"/>
    <col min="10495" max="10496" width="13" style="333" bestFit="1" customWidth="1"/>
    <col min="10497" max="10497" width="14" style="333" bestFit="1" customWidth="1"/>
    <col min="10498" max="10499" width="13" style="333" bestFit="1" customWidth="1"/>
    <col min="10500" max="10500" width="16" style="333" customWidth="1"/>
    <col min="10501" max="10745" width="9.140625" style="333"/>
    <col min="10746" max="10747" width="11" style="333" bestFit="1" customWidth="1"/>
    <col min="10748" max="10748" width="34.140625" style="333" customWidth="1"/>
    <col min="10749" max="10749" width="13" style="333" bestFit="1" customWidth="1"/>
    <col min="10750" max="10750" width="14" style="333" bestFit="1" customWidth="1"/>
    <col min="10751" max="10752" width="13" style="333" bestFit="1" customWidth="1"/>
    <col min="10753" max="10753" width="14" style="333" bestFit="1" customWidth="1"/>
    <col min="10754" max="10755" width="13" style="333" bestFit="1" customWidth="1"/>
    <col min="10756" max="10756" width="16" style="333" customWidth="1"/>
    <col min="10757" max="11001" width="9.140625" style="333"/>
    <col min="11002" max="11003" width="11" style="333" bestFit="1" customWidth="1"/>
    <col min="11004" max="11004" width="34.140625" style="333" customWidth="1"/>
    <col min="11005" max="11005" width="13" style="333" bestFit="1" customWidth="1"/>
    <col min="11006" max="11006" width="14" style="333" bestFit="1" customWidth="1"/>
    <col min="11007" max="11008" width="13" style="333" bestFit="1" customWidth="1"/>
    <col min="11009" max="11009" width="14" style="333" bestFit="1" customWidth="1"/>
    <col min="11010" max="11011" width="13" style="333" bestFit="1" customWidth="1"/>
    <col min="11012" max="11012" width="16" style="333" customWidth="1"/>
    <col min="11013" max="11257" width="9.140625" style="333"/>
    <col min="11258" max="11259" width="11" style="333" bestFit="1" customWidth="1"/>
    <col min="11260" max="11260" width="34.140625" style="333" customWidth="1"/>
    <col min="11261" max="11261" width="13" style="333" bestFit="1" customWidth="1"/>
    <col min="11262" max="11262" width="14" style="333" bestFit="1" customWidth="1"/>
    <col min="11263" max="11264" width="13" style="333" bestFit="1" customWidth="1"/>
    <col min="11265" max="11265" width="14" style="333" bestFit="1" customWidth="1"/>
    <col min="11266" max="11267" width="13" style="333" bestFit="1" customWidth="1"/>
    <col min="11268" max="11268" width="16" style="333" customWidth="1"/>
    <col min="11269" max="11513" width="9.140625" style="333"/>
    <col min="11514" max="11515" width="11" style="333" bestFit="1" customWidth="1"/>
    <col min="11516" max="11516" width="34.140625" style="333" customWidth="1"/>
    <col min="11517" max="11517" width="13" style="333" bestFit="1" customWidth="1"/>
    <col min="11518" max="11518" width="14" style="333" bestFit="1" customWidth="1"/>
    <col min="11519" max="11520" width="13" style="333" bestFit="1" customWidth="1"/>
    <col min="11521" max="11521" width="14" style="333" bestFit="1" customWidth="1"/>
    <col min="11522" max="11523" width="13" style="333" bestFit="1" customWidth="1"/>
    <col min="11524" max="11524" width="16" style="333" customWidth="1"/>
    <col min="11525" max="11769" width="9.140625" style="333"/>
    <col min="11770" max="11771" width="11" style="333" bestFit="1" customWidth="1"/>
    <col min="11772" max="11772" width="34.140625" style="333" customWidth="1"/>
    <col min="11773" max="11773" width="13" style="333" bestFit="1" customWidth="1"/>
    <col min="11774" max="11774" width="14" style="333" bestFit="1" customWidth="1"/>
    <col min="11775" max="11776" width="13" style="333" bestFit="1" customWidth="1"/>
    <col min="11777" max="11777" width="14" style="333" bestFit="1" customWidth="1"/>
    <col min="11778" max="11779" width="13" style="333" bestFit="1" customWidth="1"/>
    <col min="11780" max="11780" width="16" style="333" customWidth="1"/>
    <col min="11781" max="12025" width="9.140625" style="333"/>
    <col min="12026" max="12027" width="11" style="333" bestFit="1" customWidth="1"/>
    <col min="12028" max="12028" width="34.140625" style="333" customWidth="1"/>
    <col min="12029" max="12029" width="13" style="333" bestFit="1" customWidth="1"/>
    <col min="12030" max="12030" width="14" style="333" bestFit="1" customWidth="1"/>
    <col min="12031" max="12032" width="13" style="333" bestFit="1" customWidth="1"/>
    <col min="12033" max="12033" width="14" style="333" bestFit="1" customWidth="1"/>
    <col min="12034" max="12035" width="13" style="333" bestFit="1" customWidth="1"/>
    <col min="12036" max="12036" width="16" style="333" customWidth="1"/>
    <col min="12037" max="12281" width="9.140625" style="333"/>
    <col min="12282" max="12283" width="11" style="333" bestFit="1" customWidth="1"/>
    <col min="12284" max="12284" width="34.140625" style="333" customWidth="1"/>
    <col min="12285" max="12285" width="13" style="333" bestFit="1" customWidth="1"/>
    <col min="12286" max="12286" width="14" style="333" bestFit="1" customWidth="1"/>
    <col min="12287" max="12288" width="13" style="333" bestFit="1" customWidth="1"/>
    <col min="12289" max="12289" width="14" style="333" bestFit="1" customWidth="1"/>
    <col min="12290" max="12291" width="13" style="333" bestFit="1" customWidth="1"/>
    <col min="12292" max="12292" width="16" style="333" customWidth="1"/>
    <col min="12293" max="12537" width="9.140625" style="333"/>
    <col min="12538" max="12539" width="11" style="333" bestFit="1" customWidth="1"/>
    <col min="12540" max="12540" width="34.140625" style="333" customWidth="1"/>
    <col min="12541" max="12541" width="13" style="333" bestFit="1" customWidth="1"/>
    <col min="12542" max="12542" width="14" style="333" bestFit="1" customWidth="1"/>
    <col min="12543" max="12544" width="13" style="333" bestFit="1" customWidth="1"/>
    <col min="12545" max="12545" width="14" style="333" bestFit="1" customWidth="1"/>
    <col min="12546" max="12547" width="13" style="333" bestFit="1" customWidth="1"/>
    <col min="12548" max="12548" width="16" style="333" customWidth="1"/>
    <col min="12549" max="12793" width="9.140625" style="333"/>
    <col min="12794" max="12795" width="11" style="333" bestFit="1" customWidth="1"/>
    <col min="12796" max="12796" width="34.140625" style="333" customWidth="1"/>
    <col min="12797" max="12797" width="13" style="333" bestFit="1" customWidth="1"/>
    <col min="12798" max="12798" width="14" style="333" bestFit="1" customWidth="1"/>
    <col min="12799" max="12800" width="13" style="333" bestFit="1" customWidth="1"/>
    <col min="12801" max="12801" width="14" style="333" bestFit="1" customWidth="1"/>
    <col min="12802" max="12803" width="13" style="333" bestFit="1" customWidth="1"/>
    <col min="12804" max="12804" width="16" style="333" customWidth="1"/>
    <col min="12805" max="13049" width="9.140625" style="333"/>
    <col min="13050" max="13051" width="11" style="333" bestFit="1" customWidth="1"/>
    <col min="13052" max="13052" width="34.140625" style="333" customWidth="1"/>
    <col min="13053" max="13053" width="13" style="333" bestFit="1" customWidth="1"/>
    <col min="13054" max="13054" width="14" style="333" bestFit="1" customWidth="1"/>
    <col min="13055" max="13056" width="13" style="333" bestFit="1" customWidth="1"/>
    <col min="13057" max="13057" width="14" style="333" bestFit="1" customWidth="1"/>
    <col min="13058" max="13059" width="13" style="333" bestFit="1" customWidth="1"/>
    <col min="13060" max="13060" width="16" style="333" customWidth="1"/>
    <col min="13061" max="13305" width="9.140625" style="333"/>
    <col min="13306" max="13307" width="11" style="333" bestFit="1" customWidth="1"/>
    <col min="13308" max="13308" width="34.140625" style="333" customWidth="1"/>
    <col min="13309" max="13309" width="13" style="333" bestFit="1" customWidth="1"/>
    <col min="13310" max="13310" width="14" style="333" bestFit="1" customWidth="1"/>
    <col min="13311" max="13312" width="13" style="333" bestFit="1" customWidth="1"/>
    <col min="13313" max="13313" width="14" style="333" bestFit="1" customWidth="1"/>
    <col min="13314" max="13315" width="13" style="333" bestFit="1" customWidth="1"/>
    <col min="13316" max="13316" width="16" style="333" customWidth="1"/>
    <col min="13317" max="13561" width="9.140625" style="333"/>
    <col min="13562" max="13563" width="11" style="333" bestFit="1" customWidth="1"/>
    <col min="13564" max="13564" width="34.140625" style="333" customWidth="1"/>
    <col min="13565" max="13565" width="13" style="333" bestFit="1" customWidth="1"/>
    <col min="13566" max="13566" width="14" style="333" bestFit="1" customWidth="1"/>
    <col min="13567" max="13568" width="13" style="333" bestFit="1" customWidth="1"/>
    <col min="13569" max="13569" width="14" style="333" bestFit="1" customWidth="1"/>
    <col min="13570" max="13571" width="13" style="333" bestFit="1" customWidth="1"/>
    <col min="13572" max="13572" width="16" style="333" customWidth="1"/>
    <col min="13573" max="13817" width="9.140625" style="333"/>
    <col min="13818" max="13819" width="11" style="333" bestFit="1" customWidth="1"/>
    <col min="13820" max="13820" width="34.140625" style="333" customWidth="1"/>
    <col min="13821" max="13821" width="13" style="333" bestFit="1" customWidth="1"/>
    <col min="13822" max="13822" width="14" style="333" bestFit="1" customWidth="1"/>
    <col min="13823" max="13824" width="13" style="333" bestFit="1" customWidth="1"/>
    <col min="13825" max="13825" width="14" style="333" bestFit="1" customWidth="1"/>
    <col min="13826" max="13827" width="13" style="333" bestFit="1" customWidth="1"/>
    <col min="13828" max="13828" width="16" style="333" customWidth="1"/>
    <col min="13829" max="14073" width="9.140625" style="333"/>
    <col min="14074" max="14075" width="11" style="333" bestFit="1" customWidth="1"/>
    <col min="14076" max="14076" width="34.140625" style="333" customWidth="1"/>
    <col min="14077" max="14077" width="13" style="333" bestFit="1" customWidth="1"/>
    <col min="14078" max="14078" width="14" style="333" bestFit="1" customWidth="1"/>
    <col min="14079" max="14080" width="13" style="333" bestFit="1" customWidth="1"/>
    <col min="14081" max="14081" width="14" style="333" bestFit="1" customWidth="1"/>
    <col min="14082" max="14083" width="13" style="333" bestFit="1" customWidth="1"/>
    <col min="14084" max="14084" width="16" style="333" customWidth="1"/>
    <col min="14085" max="14329" width="9.140625" style="333"/>
    <col min="14330" max="14331" width="11" style="333" bestFit="1" customWidth="1"/>
    <col min="14332" max="14332" width="34.140625" style="333" customWidth="1"/>
    <col min="14333" max="14333" width="13" style="333" bestFit="1" customWidth="1"/>
    <col min="14334" max="14334" width="14" style="333" bestFit="1" customWidth="1"/>
    <col min="14335" max="14336" width="13" style="333" bestFit="1" customWidth="1"/>
    <col min="14337" max="14337" width="14" style="333" bestFit="1" customWidth="1"/>
    <col min="14338" max="14339" width="13" style="333" bestFit="1" customWidth="1"/>
    <col min="14340" max="14340" width="16" style="333" customWidth="1"/>
    <col min="14341" max="14585" width="9.140625" style="333"/>
    <col min="14586" max="14587" width="11" style="333" bestFit="1" customWidth="1"/>
    <col min="14588" max="14588" width="34.140625" style="333" customWidth="1"/>
    <col min="14589" max="14589" width="13" style="333" bestFit="1" customWidth="1"/>
    <col min="14590" max="14590" width="14" style="333" bestFit="1" customWidth="1"/>
    <col min="14591" max="14592" width="13" style="333" bestFit="1" customWidth="1"/>
    <col min="14593" max="14593" width="14" style="333" bestFit="1" customWidth="1"/>
    <col min="14594" max="14595" width="13" style="333" bestFit="1" customWidth="1"/>
    <col min="14596" max="14596" width="16" style="333" customWidth="1"/>
    <col min="14597" max="14841" width="9.140625" style="333"/>
    <col min="14842" max="14843" width="11" style="333" bestFit="1" customWidth="1"/>
    <col min="14844" max="14844" width="34.140625" style="333" customWidth="1"/>
    <col min="14845" max="14845" width="13" style="333" bestFit="1" customWidth="1"/>
    <col min="14846" max="14846" width="14" style="333" bestFit="1" customWidth="1"/>
    <col min="14847" max="14848" width="13" style="333" bestFit="1" customWidth="1"/>
    <col min="14849" max="14849" width="14" style="333" bestFit="1" customWidth="1"/>
    <col min="14850" max="14851" width="13" style="333" bestFit="1" customWidth="1"/>
    <col min="14852" max="14852" width="16" style="333" customWidth="1"/>
    <col min="14853" max="15097" width="9.140625" style="333"/>
    <col min="15098" max="15099" width="11" style="333" bestFit="1" customWidth="1"/>
    <col min="15100" max="15100" width="34.140625" style="333" customWidth="1"/>
    <col min="15101" max="15101" width="13" style="333" bestFit="1" customWidth="1"/>
    <col min="15102" max="15102" width="14" style="333" bestFit="1" customWidth="1"/>
    <col min="15103" max="15104" width="13" style="333" bestFit="1" customWidth="1"/>
    <col min="15105" max="15105" width="14" style="333" bestFit="1" customWidth="1"/>
    <col min="15106" max="15107" width="13" style="333" bestFit="1" customWidth="1"/>
    <col min="15108" max="15108" width="16" style="333" customWidth="1"/>
    <col min="15109" max="15353" width="9.140625" style="333"/>
    <col min="15354" max="15355" width="11" style="333" bestFit="1" customWidth="1"/>
    <col min="15356" max="15356" width="34.140625" style="333" customWidth="1"/>
    <col min="15357" max="15357" width="13" style="333" bestFit="1" customWidth="1"/>
    <col min="15358" max="15358" width="14" style="333" bestFit="1" customWidth="1"/>
    <col min="15359" max="15360" width="13" style="333" bestFit="1" customWidth="1"/>
    <col min="15361" max="15361" width="14" style="333" bestFit="1" customWidth="1"/>
    <col min="15362" max="15363" width="13" style="333" bestFit="1" customWidth="1"/>
    <col min="15364" max="15364" width="16" style="333" customWidth="1"/>
    <col min="15365" max="15609" width="9.140625" style="333"/>
    <col min="15610" max="15611" width="11" style="333" bestFit="1" customWidth="1"/>
    <col min="15612" max="15612" width="34.140625" style="333" customWidth="1"/>
    <col min="15613" max="15613" width="13" style="333" bestFit="1" customWidth="1"/>
    <col min="15614" max="15614" width="14" style="333" bestFit="1" customWidth="1"/>
    <col min="15615" max="15616" width="13" style="333" bestFit="1" customWidth="1"/>
    <col min="15617" max="15617" width="14" style="333" bestFit="1" customWidth="1"/>
    <col min="15618" max="15619" width="13" style="333" bestFit="1" customWidth="1"/>
    <col min="15620" max="15620" width="16" style="333" customWidth="1"/>
    <col min="15621" max="15865" width="9.140625" style="333"/>
    <col min="15866" max="15867" width="11" style="333" bestFit="1" customWidth="1"/>
    <col min="15868" max="15868" width="34.140625" style="333" customWidth="1"/>
    <col min="15869" max="15869" width="13" style="333" bestFit="1" customWidth="1"/>
    <col min="15870" max="15870" width="14" style="333" bestFit="1" customWidth="1"/>
    <col min="15871" max="15872" width="13" style="333" bestFit="1" customWidth="1"/>
    <col min="15873" max="15873" width="14" style="333" bestFit="1" customWidth="1"/>
    <col min="15874" max="15875" width="13" style="333" bestFit="1" customWidth="1"/>
    <col min="15876" max="15876" width="16" style="333" customWidth="1"/>
    <col min="15877" max="16121" width="9.140625" style="333"/>
    <col min="16122" max="16123" width="11" style="333" bestFit="1" customWidth="1"/>
    <col min="16124" max="16124" width="34.140625" style="333" customWidth="1"/>
    <col min="16125" max="16125" width="13" style="333" bestFit="1" customWidth="1"/>
    <col min="16126" max="16126" width="14" style="333" bestFit="1" customWidth="1"/>
    <col min="16127" max="16128" width="13" style="333" bestFit="1" customWidth="1"/>
    <col min="16129" max="16129" width="14" style="333" bestFit="1" customWidth="1"/>
    <col min="16130" max="16131" width="13" style="333" bestFit="1" customWidth="1"/>
    <col min="16132" max="16132" width="16" style="333" customWidth="1"/>
    <col min="16133" max="16384" width="9.140625" style="333"/>
  </cols>
  <sheetData>
    <row r="3" spans="1:7" x14ac:dyDescent="0.2">
      <c r="D3" s="348">
        <f>SUBTOTAL(9,D6:D54)</f>
        <v>78964031.680000007</v>
      </c>
      <c r="E3" s="350"/>
    </row>
    <row r="5" spans="1:7" ht="15.75" x14ac:dyDescent="0.25">
      <c r="A5" s="336" t="s">
        <v>150</v>
      </c>
      <c r="B5" s="336" t="s">
        <v>151</v>
      </c>
      <c r="C5" s="337" t="s">
        <v>152</v>
      </c>
      <c r="D5" s="358" t="s">
        <v>1065</v>
      </c>
      <c r="E5" s="340" t="s">
        <v>238</v>
      </c>
      <c r="F5" s="340" t="s">
        <v>122</v>
      </c>
      <c r="G5" s="340" t="s">
        <v>239</v>
      </c>
    </row>
    <row r="6" spans="1:7" ht="15.75" x14ac:dyDescent="0.2">
      <c r="A6" s="338" t="s">
        <v>1108</v>
      </c>
      <c r="B6" s="338" t="s">
        <v>1016</v>
      </c>
      <c r="C6" s="339" t="s">
        <v>155</v>
      </c>
      <c r="D6" s="359">
        <v>333.78</v>
      </c>
      <c r="E6" s="346" t="s">
        <v>66</v>
      </c>
      <c r="F6" s="347" t="s">
        <v>1014</v>
      </c>
      <c r="G6" s="346"/>
    </row>
    <row r="7" spans="1:7" ht="15.75" x14ac:dyDescent="0.2">
      <c r="A7" s="338" t="s">
        <v>1111</v>
      </c>
      <c r="B7" s="338" t="s">
        <v>1042</v>
      </c>
      <c r="C7" s="339" t="s">
        <v>155</v>
      </c>
      <c r="D7" s="359">
        <v>19.579999999999998</v>
      </c>
      <c r="E7" s="346" t="s">
        <v>66</v>
      </c>
      <c r="F7" s="347" t="s">
        <v>1041</v>
      </c>
      <c r="G7" s="346"/>
    </row>
    <row r="8" spans="1:7" ht="15.75" x14ac:dyDescent="0.2">
      <c r="A8" s="338" t="s">
        <v>1112</v>
      </c>
      <c r="B8" s="338" t="s">
        <v>1017</v>
      </c>
      <c r="C8" s="339" t="s">
        <v>155</v>
      </c>
      <c r="D8" s="359">
        <v>176</v>
      </c>
      <c r="E8" s="346" t="s">
        <v>66</v>
      </c>
      <c r="F8" s="347" t="s">
        <v>1014</v>
      </c>
      <c r="G8" s="346"/>
    </row>
    <row r="9" spans="1:7" ht="15.75" x14ac:dyDescent="0.2">
      <c r="A9" s="338" t="s">
        <v>1113</v>
      </c>
      <c r="B9" s="338" t="s">
        <v>1018</v>
      </c>
      <c r="C9" s="339" t="s">
        <v>155</v>
      </c>
      <c r="D9" s="359">
        <v>88</v>
      </c>
      <c r="E9" s="346" t="s">
        <v>66</v>
      </c>
      <c r="F9" s="347" t="s">
        <v>1014</v>
      </c>
      <c r="G9" s="346"/>
    </row>
    <row r="10" spans="1:7" ht="15.75" x14ac:dyDescent="0.2">
      <c r="A10" s="338" t="s">
        <v>1114</v>
      </c>
      <c r="B10" s="338" t="s">
        <v>1043</v>
      </c>
      <c r="C10" s="339" t="s">
        <v>155</v>
      </c>
      <c r="D10" s="359">
        <v>20418.11</v>
      </c>
      <c r="E10" s="346" t="s">
        <v>66</v>
      </c>
      <c r="F10" s="347" t="s">
        <v>1041</v>
      </c>
      <c r="G10" s="346"/>
    </row>
    <row r="11" spans="1:7" ht="15.75" x14ac:dyDescent="0.2">
      <c r="A11" s="338" t="s">
        <v>1115</v>
      </c>
      <c r="B11" s="338" t="s">
        <v>1019</v>
      </c>
      <c r="C11" s="339" t="s">
        <v>155</v>
      </c>
      <c r="D11" s="359">
        <v>239</v>
      </c>
      <c r="E11" s="346" t="s">
        <v>66</v>
      </c>
      <c r="F11" s="347" t="s">
        <v>1014</v>
      </c>
      <c r="G11" s="346"/>
    </row>
    <row r="12" spans="1:7" ht="15.75" x14ac:dyDescent="0.2">
      <c r="A12" s="338" t="s">
        <v>1116</v>
      </c>
      <c r="B12" s="338" t="s">
        <v>1044</v>
      </c>
      <c r="C12" s="339" t="s">
        <v>155</v>
      </c>
      <c r="D12" s="359">
        <v>150</v>
      </c>
      <c r="E12" s="346" t="s">
        <v>66</v>
      </c>
      <c r="F12" s="347" t="s">
        <v>1041</v>
      </c>
      <c r="G12" s="346"/>
    </row>
    <row r="13" spans="1:7" ht="15.75" x14ac:dyDescent="0.2">
      <c r="A13" s="338" t="s">
        <v>1117</v>
      </c>
      <c r="B13" s="338" t="s">
        <v>1020</v>
      </c>
      <c r="C13" s="339" t="s">
        <v>155</v>
      </c>
      <c r="D13" s="359">
        <v>9182.76</v>
      </c>
      <c r="E13" s="346" t="s">
        <v>66</v>
      </c>
      <c r="F13" s="347" t="s">
        <v>1014</v>
      </c>
      <c r="G13" s="346"/>
    </row>
    <row r="14" spans="1:7" ht="15.75" x14ac:dyDescent="0.2">
      <c r="A14" s="338" t="s">
        <v>1118</v>
      </c>
      <c r="B14" s="338" t="s">
        <v>1021</v>
      </c>
      <c r="C14" s="339" t="s">
        <v>155</v>
      </c>
      <c r="D14" s="359">
        <v>1664.16</v>
      </c>
      <c r="E14" s="346" t="s">
        <v>66</v>
      </c>
      <c r="F14" s="347" t="s">
        <v>1014</v>
      </c>
      <c r="G14" s="346"/>
    </row>
    <row r="15" spans="1:7" ht="15.75" x14ac:dyDescent="0.2">
      <c r="A15" s="338" t="s">
        <v>1119</v>
      </c>
      <c r="B15" s="338" t="s">
        <v>1045</v>
      </c>
      <c r="C15" s="339" t="s">
        <v>155</v>
      </c>
      <c r="D15" s="359">
        <v>779949.74</v>
      </c>
      <c r="E15" s="346" t="s">
        <v>66</v>
      </c>
      <c r="F15" s="347" t="s">
        <v>1041</v>
      </c>
      <c r="G15" s="346"/>
    </row>
    <row r="16" spans="1:7" ht="15.75" x14ac:dyDescent="0.2">
      <c r="A16" s="338" t="s">
        <v>1120</v>
      </c>
      <c r="B16" s="338" t="s">
        <v>1022</v>
      </c>
      <c r="C16" s="339" t="s">
        <v>155</v>
      </c>
      <c r="D16" s="359">
        <v>414561.37</v>
      </c>
      <c r="E16" s="346" t="s">
        <v>66</v>
      </c>
      <c r="F16" s="347" t="s">
        <v>1014</v>
      </c>
      <c r="G16" s="346"/>
    </row>
    <row r="17" spans="1:7" ht="15.75" x14ac:dyDescent="0.2">
      <c r="A17" s="338" t="s">
        <v>1121</v>
      </c>
      <c r="B17" s="338" t="s">
        <v>1046</v>
      </c>
      <c r="C17" s="339" t="s">
        <v>155</v>
      </c>
      <c r="D17" s="359">
        <v>41266.43</v>
      </c>
      <c r="E17" s="346" t="s">
        <v>66</v>
      </c>
      <c r="F17" s="347" t="s">
        <v>1041</v>
      </c>
      <c r="G17" s="346"/>
    </row>
    <row r="18" spans="1:7" ht="15.75" x14ac:dyDescent="0.2">
      <c r="A18" s="338" t="s">
        <v>1122</v>
      </c>
      <c r="B18" s="338" t="s">
        <v>1023</v>
      </c>
      <c r="C18" s="339" t="s">
        <v>155</v>
      </c>
      <c r="D18" s="359">
        <v>302.39</v>
      </c>
      <c r="E18" s="346" t="s">
        <v>66</v>
      </c>
      <c r="F18" s="347" t="s">
        <v>1014</v>
      </c>
      <c r="G18" s="346"/>
    </row>
    <row r="19" spans="1:7" ht="15.75" x14ac:dyDescent="0.2">
      <c r="A19" s="338" t="s">
        <v>1123</v>
      </c>
      <c r="B19" s="338" t="s">
        <v>1024</v>
      </c>
      <c r="C19" s="339" t="s">
        <v>155</v>
      </c>
      <c r="D19" s="359">
        <v>414190.84</v>
      </c>
      <c r="E19" s="346" t="s">
        <v>66</v>
      </c>
      <c r="F19" s="347" t="s">
        <v>1014</v>
      </c>
      <c r="G19" s="346"/>
    </row>
    <row r="20" spans="1:7" ht="15.75" x14ac:dyDescent="0.2">
      <c r="A20" s="338" t="s">
        <v>1124</v>
      </c>
      <c r="B20" s="338" t="s">
        <v>1047</v>
      </c>
      <c r="C20" s="339" t="s">
        <v>155</v>
      </c>
      <c r="D20" s="359">
        <v>745</v>
      </c>
      <c r="E20" s="346" t="s">
        <v>66</v>
      </c>
      <c r="F20" s="347" t="s">
        <v>1041</v>
      </c>
      <c r="G20" s="346"/>
    </row>
    <row r="21" spans="1:7" ht="15.75" x14ac:dyDescent="0.2">
      <c r="A21" s="338" t="s">
        <v>1125</v>
      </c>
      <c r="B21" s="338" t="s">
        <v>1025</v>
      </c>
      <c r="C21" s="339" t="s">
        <v>155</v>
      </c>
      <c r="D21" s="359">
        <v>84</v>
      </c>
      <c r="E21" s="346" t="s">
        <v>66</v>
      </c>
      <c r="F21" s="347" t="s">
        <v>1014</v>
      </c>
      <c r="G21" s="346"/>
    </row>
    <row r="22" spans="1:7" ht="15.75" x14ac:dyDescent="0.2">
      <c r="A22" s="338" t="s">
        <v>1126</v>
      </c>
      <c r="B22" s="338" t="s">
        <v>1026</v>
      </c>
      <c r="C22" s="339" t="s">
        <v>155</v>
      </c>
      <c r="D22" s="359">
        <v>9048631.0099999998</v>
      </c>
      <c r="E22" s="346" t="s">
        <v>66</v>
      </c>
      <c r="F22" s="347" t="s">
        <v>1014</v>
      </c>
      <c r="G22" s="346"/>
    </row>
    <row r="23" spans="1:7" ht="15.75" x14ac:dyDescent="0.2">
      <c r="A23" s="338" t="s">
        <v>1127</v>
      </c>
      <c r="B23" s="338" t="s">
        <v>1048</v>
      </c>
      <c r="C23" s="339" t="s">
        <v>155</v>
      </c>
      <c r="D23" s="359">
        <v>4218.3599999999997</v>
      </c>
      <c r="E23" s="346" t="s">
        <v>66</v>
      </c>
      <c r="F23" s="347" t="s">
        <v>1041</v>
      </c>
      <c r="G23" s="346"/>
    </row>
    <row r="24" spans="1:7" ht="15.75" x14ac:dyDescent="0.2">
      <c r="A24" s="338" t="s">
        <v>1128</v>
      </c>
      <c r="B24" s="338" t="s">
        <v>1027</v>
      </c>
      <c r="C24" s="339" t="s">
        <v>155</v>
      </c>
      <c r="D24" s="359">
        <v>3830023.22</v>
      </c>
      <c r="E24" s="346" t="s">
        <v>66</v>
      </c>
      <c r="F24" s="347" t="s">
        <v>1014</v>
      </c>
      <c r="G24" s="346"/>
    </row>
    <row r="25" spans="1:7" ht="15.75" x14ac:dyDescent="0.2">
      <c r="A25" s="338" t="s">
        <v>1129</v>
      </c>
      <c r="B25" s="338" t="s">
        <v>1049</v>
      </c>
      <c r="C25" s="339" t="s">
        <v>155</v>
      </c>
      <c r="D25" s="359">
        <v>3169502.44</v>
      </c>
      <c r="E25" s="346" t="s">
        <v>66</v>
      </c>
      <c r="F25" s="347" t="s">
        <v>1041</v>
      </c>
      <c r="G25" s="346"/>
    </row>
    <row r="26" spans="1:7" ht="15.75" x14ac:dyDescent="0.2">
      <c r="A26" s="338" t="s">
        <v>1130</v>
      </c>
      <c r="B26" s="338" t="s">
        <v>1028</v>
      </c>
      <c r="C26" s="339" t="s">
        <v>155</v>
      </c>
      <c r="D26" s="359">
        <v>110135.43</v>
      </c>
      <c r="E26" s="346" t="s">
        <v>66</v>
      </c>
      <c r="F26" s="347" t="s">
        <v>1014</v>
      </c>
      <c r="G26" s="346"/>
    </row>
    <row r="27" spans="1:7" ht="15.75" x14ac:dyDescent="0.2">
      <c r="A27" s="338" t="s">
        <v>1131</v>
      </c>
      <c r="B27" s="338" t="s">
        <v>1029</v>
      </c>
      <c r="C27" s="339" t="s">
        <v>155</v>
      </c>
      <c r="D27" s="359">
        <v>24039.72</v>
      </c>
      <c r="E27" s="346" t="s">
        <v>66</v>
      </c>
      <c r="F27" s="347" t="s">
        <v>1014</v>
      </c>
      <c r="G27" s="346"/>
    </row>
    <row r="28" spans="1:7" ht="15.75" x14ac:dyDescent="0.2">
      <c r="A28" s="338" t="s">
        <v>1132</v>
      </c>
      <c r="B28" s="338" t="s">
        <v>1030</v>
      </c>
      <c r="C28" s="339" t="s">
        <v>155</v>
      </c>
      <c r="D28" s="359">
        <v>9639.31</v>
      </c>
      <c r="E28" s="346" t="s">
        <v>66</v>
      </c>
      <c r="F28" s="347" t="s">
        <v>1014</v>
      </c>
      <c r="G28" s="346"/>
    </row>
    <row r="29" spans="1:7" ht="15.75" x14ac:dyDescent="0.2">
      <c r="A29" s="338" t="s">
        <v>1133</v>
      </c>
      <c r="B29" s="338" t="s">
        <v>1050</v>
      </c>
      <c r="C29" s="339" t="s">
        <v>155</v>
      </c>
      <c r="D29" s="359">
        <v>177307.53</v>
      </c>
      <c r="E29" s="346" t="s">
        <v>66</v>
      </c>
      <c r="F29" s="347" t="s">
        <v>1041</v>
      </c>
      <c r="G29" s="346"/>
    </row>
    <row r="30" spans="1:7" ht="15.75" x14ac:dyDescent="0.2">
      <c r="A30" s="338" t="s">
        <v>1134</v>
      </c>
      <c r="B30" s="338" t="s">
        <v>1032</v>
      </c>
      <c r="C30" s="339" t="s">
        <v>155</v>
      </c>
      <c r="D30" s="359">
        <v>13.09</v>
      </c>
      <c r="E30" s="346" t="s">
        <v>66</v>
      </c>
      <c r="F30" s="347" t="s">
        <v>1014</v>
      </c>
      <c r="G30" s="346"/>
    </row>
    <row r="31" spans="1:7" ht="15.75" x14ac:dyDescent="0.2">
      <c r="A31" s="338" t="s">
        <v>1135</v>
      </c>
      <c r="B31" s="338" t="s">
        <v>1033</v>
      </c>
      <c r="C31" s="339" t="s">
        <v>155</v>
      </c>
      <c r="D31" s="359">
        <v>536.78</v>
      </c>
      <c r="E31" s="346" t="s">
        <v>66</v>
      </c>
      <c r="F31" s="347" t="s">
        <v>1014</v>
      </c>
      <c r="G31" s="346"/>
    </row>
    <row r="32" spans="1:7" ht="15.75" x14ac:dyDescent="0.2">
      <c r="A32" s="338" t="s">
        <v>1136</v>
      </c>
      <c r="B32" s="338" t="s">
        <v>1051</v>
      </c>
      <c r="C32" s="339" t="s">
        <v>155</v>
      </c>
      <c r="D32" s="359">
        <v>320.23</v>
      </c>
      <c r="E32" s="346" t="s">
        <v>66</v>
      </c>
      <c r="F32" s="347" t="s">
        <v>1041</v>
      </c>
      <c r="G32" s="346"/>
    </row>
    <row r="33" spans="1:7" ht="15.75" x14ac:dyDescent="0.2">
      <c r="A33" s="338" t="s">
        <v>1137</v>
      </c>
      <c r="B33" s="338" t="s">
        <v>1034</v>
      </c>
      <c r="C33" s="339" t="s">
        <v>155</v>
      </c>
      <c r="D33" s="359">
        <v>88088</v>
      </c>
      <c r="E33" s="346" t="s">
        <v>66</v>
      </c>
      <c r="F33" s="347" t="s">
        <v>1014</v>
      </c>
      <c r="G33" s="346"/>
    </row>
    <row r="34" spans="1:7" ht="15.75" x14ac:dyDescent="0.2">
      <c r="A34" s="338" t="s">
        <v>1138</v>
      </c>
      <c r="B34" s="338" t="s">
        <v>1035</v>
      </c>
      <c r="C34" s="339" t="s">
        <v>155</v>
      </c>
      <c r="D34" s="359">
        <v>411.56</v>
      </c>
      <c r="E34" s="346" t="s">
        <v>66</v>
      </c>
      <c r="F34" s="347" t="s">
        <v>1014</v>
      </c>
      <c r="G34" s="346"/>
    </row>
    <row r="35" spans="1:7" ht="15.75" x14ac:dyDescent="0.2">
      <c r="A35" s="338" t="s">
        <v>1139</v>
      </c>
      <c r="B35" s="338" t="s">
        <v>1052</v>
      </c>
      <c r="C35" s="339" t="s">
        <v>155</v>
      </c>
      <c r="D35" s="359">
        <v>9178321.1600000001</v>
      </c>
      <c r="E35" s="346" t="s">
        <v>66</v>
      </c>
      <c r="F35" s="347" t="s">
        <v>1041</v>
      </c>
      <c r="G35" s="346"/>
    </row>
    <row r="36" spans="1:7" ht="15.75" x14ac:dyDescent="0.2">
      <c r="A36" s="338" t="s">
        <v>1140</v>
      </c>
      <c r="B36" s="338" t="s">
        <v>1036</v>
      </c>
      <c r="C36" s="339" t="s">
        <v>155</v>
      </c>
      <c r="D36" s="359">
        <v>4185.21</v>
      </c>
      <c r="E36" s="346" t="s">
        <v>66</v>
      </c>
      <c r="F36" s="347" t="s">
        <v>1014</v>
      </c>
      <c r="G36" s="346"/>
    </row>
    <row r="37" spans="1:7" ht="15.75" x14ac:dyDescent="0.2">
      <c r="A37" s="338" t="s">
        <v>1141</v>
      </c>
      <c r="B37" s="338" t="s">
        <v>1056</v>
      </c>
      <c r="C37" s="339" t="s">
        <v>155</v>
      </c>
      <c r="D37" s="359">
        <v>17827.7</v>
      </c>
      <c r="E37" s="346" t="s">
        <v>66</v>
      </c>
      <c r="F37" s="347" t="s">
        <v>1055</v>
      </c>
      <c r="G37" s="346"/>
    </row>
    <row r="38" spans="1:7" ht="15.75" x14ac:dyDescent="0.2">
      <c r="A38" s="338" t="s">
        <v>1144</v>
      </c>
      <c r="B38" s="338" t="s">
        <v>1145</v>
      </c>
      <c r="C38" s="339" t="s">
        <v>155</v>
      </c>
      <c r="D38" s="359">
        <v>30539.9</v>
      </c>
      <c r="E38" s="346" t="s">
        <v>1063</v>
      </c>
      <c r="F38" s="347"/>
      <c r="G38" s="346"/>
    </row>
    <row r="39" spans="1:7" ht="15.75" x14ac:dyDescent="0.2">
      <c r="A39" s="338" t="s">
        <v>1146</v>
      </c>
      <c r="B39" s="338" t="s">
        <v>1147</v>
      </c>
      <c r="C39" s="339" t="s">
        <v>155</v>
      </c>
      <c r="D39" s="359">
        <v>898565.99</v>
      </c>
      <c r="E39" s="346" t="s">
        <v>1063</v>
      </c>
      <c r="F39" s="347"/>
      <c r="G39" s="346"/>
    </row>
    <row r="40" spans="1:7" ht="15.75" x14ac:dyDescent="0.2">
      <c r="A40" s="338" t="s">
        <v>1148</v>
      </c>
      <c r="B40" s="338" t="s">
        <v>1149</v>
      </c>
      <c r="C40" s="339" t="s">
        <v>155</v>
      </c>
      <c r="D40" s="359">
        <v>17189517.559999999</v>
      </c>
      <c r="E40" s="346" t="s">
        <v>1063</v>
      </c>
      <c r="F40" s="347"/>
      <c r="G40" s="346"/>
    </row>
    <row r="41" spans="1:7" ht="15.75" x14ac:dyDescent="0.2">
      <c r="A41" s="338" t="s">
        <v>1152</v>
      </c>
      <c r="B41" s="338" t="s">
        <v>1057</v>
      </c>
      <c r="C41" s="339" t="s">
        <v>208</v>
      </c>
      <c r="D41" s="359">
        <v>45182.57</v>
      </c>
      <c r="E41" s="346" t="s">
        <v>66</v>
      </c>
      <c r="F41" s="347" t="s">
        <v>1055</v>
      </c>
      <c r="G41" s="346"/>
    </row>
    <row r="42" spans="1:7" ht="15.75" x14ac:dyDescent="0.2">
      <c r="A42" s="338" t="s">
        <v>1153</v>
      </c>
      <c r="B42" s="338" t="s">
        <v>1058</v>
      </c>
      <c r="C42" s="339" t="s">
        <v>208</v>
      </c>
      <c r="D42" s="359">
        <v>4518.26</v>
      </c>
      <c r="E42" s="346" t="s">
        <v>66</v>
      </c>
      <c r="F42" s="347" t="s">
        <v>1055</v>
      </c>
      <c r="G42" s="346"/>
    </row>
    <row r="43" spans="1:7" ht="15.75" x14ac:dyDescent="0.2">
      <c r="A43" s="338" t="s">
        <v>1156</v>
      </c>
      <c r="B43" s="338" t="s">
        <v>1157</v>
      </c>
      <c r="C43" s="339" t="s">
        <v>155</v>
      </c>
      <c r="D43" s="359">
        <v>114772.52</v>
      </c>
      <c r="E43" s="346" t="s">
        <v>1063</v>
      </c>
      <c r="F43" s="347"/>
      <c r="G43" s="346"/>
    </row>
    <row r="44" spans="1:7" ht="15.75" x14ac:dyDescent="0.2">
      <c r="A44" s="338" t="s">
        <v>1160</v>
      </c>
      <c r="B44" s="338" t="s">
        <v>1161</v>
      </c>
      <c r="C44" s="339" t="s">
        <v>155</v>
      </c>
      <c r="D44" s="359">
        <v>1996484.1</v>
      </c>
      <c r="E44" s="346" t="s">
        <v>1063</v>
      </c>
      <c r="F44" s="347"/>
      <c r="G44" s="346"/>
    </row>
    <row r="45" spans="1:7" ht="15.75" x14ac:dyDescent="0.2">
      <c r="A45" s="338" t="s">
        <v>1164</v>
      </c>
      <c r="B45" s="338" t="s">
        <v>1038</v>
      </c>
      <c r="C45" s="339" t="s">
        <v>215</v>
      </c>
      <c r="D45" s="359">
        <v>2799689.9</v>
      </c>
      <c r="E45" s="346" t="s">
        <v>66</v>
      </c>
      <c r="F45" s="347" t="s">
        <v>1014</v>
      </c>
      <c r="G45" s="346"/>
    </row>
    <row r="46" spans="1:7" ht="15.75" x14ac:dyDescent="0.2">
      <c r="A46" s="338" t="s">
        <v>1165</v>
      </c>
      <c r="B46" s="338" t="s">
        <v>1039</v>
      </c>
      <c r="C46" s="339" t="s">
        <v>215</v>
      </c>
      <c r="D46" s="359">
        <v>2979396.85</v>
      </c>
      <c r="E46" s="346" t="s">
        <v>66</v>
      </c>
      <c r="F46" s="347" t="s">
        <v>1014</v>
      </c>
      <c r="G46" s="346"/>
    </row>
    <row r="47" spans="1:7" ht="15.75" x14ac:dyDescent="0.2">
      <c r="A47" s="338" t="s">
        <v>1168</v>
      </c>
      <c r="B47" s="338" t="s">
        <v>1169</v>
      </c>
      <c r="C47" s="339" t="s">
        <v>155</v>
      </c>
      <c r="D47" s="359">
        <v>2201686.66</v>
      </c>
      <c r="E47" s="346" t="s">
        <v>1063</v>
      </c>
      <c r="F47" s="347"/>
      <c r="G47" s="346"/>
    </row>
    <row r="48" spans="1:7" ht="15.75" x14ac:dyDescent="0.2">
      <c r="A48" s="338" t="s">
        <v>1174</v>
      </c>
      <c r="B48" s="338" t="s">
        <v>1175</v>
      </c>
      <c r="C48" s="339" t="s">
        <v>155</v>
      </c>
      <c r="D48" s="359">
        <v>4998104.6399999997</v>
      </c>
      <c r="E48" s="346" t="s">
        <v>1063</v>
      </c>
      <c r="F48" s="347"/>
      <c r="G48" s="346"/>
    </row>
    <row r="49" spans="1:7" ht="15.75" x14ac:dyDescent="0.2">
      <c r="A49" s="338" t="s">
        <v>1177</v>
      </c>
      <c r="B49" s="338" t="s">
        <v>1040</v>
      </c>
      <c r="C49" s="339" t="s">
        <v>215</v>
      </c>
      <c r="D49" s="359">
        <v>636882.57999999996</v>
      </c>
      <c r="E49" s="346" t="s">
        <v>66</v>
      </c>
      <c r="F49" s="347" t="s">
        <v>1014</v>
      </c>
      <c r="G49" s="346"/>
    </row>
    <row r="50" spans="1:7" ht="15.75" x14ac:dyDescent="0.2">
      <c r="A50" s="338" t="s">
        <v>1180</v>
      </c>
      <c r="B50" s="338" t="s">
        <v>1053</v>
      </c>
      <c r="C50" s="339" t="s">
        <v>155</v>
      </c>
      <c r="D50" s="359">
        <v>2799689.9</v>
      </c>
      <c r="E50" s="346" t="s">
        <v>66</v>
      </c>
      <c r="F50" s="347" t="s">
        <v>1041</v>
      </c>
      <c r="G50" s="346"/>
    </row>
    <row r="51" spans="1:7" ht="15.75" x14ac:dyDescent="0.2">
      <c r="A51" s="338" t="s">
        <v>1181</v>
      </c>
      <c r="B51" s="338" t="s">
        <v>1037</v>
      </c>
      <c r="C51" s="339" t="s">
        <v>155</v>
      </c>
      <c r="D51" s="359">
        <v>5521912.3799999999</v>
      </c>
      <c r="E51" s="346" t="s">
        <v>66</v>
      </c>
      <c r="F51" s="347" t="s">
        <v>1014</v>
      </c>
      <c r="G51" s="346"/>
    </row>
    <row r="52" spans="1:7" ht="15.75" x14ac:dyDescent="0.2">
      <c r="A52" s="338" t="s">
        <v>1184</v>
      </c>
      <c r="B52" s="338" t="s">
        <v>1185</v>
      </c>
      <c r="C52" s="339" t="s">
        <v>155</v>
      </c>
      <c r="D52" s="359">
        <v>6551303.0099999998</v>
      </c>
      <c r="E52" s="346" t="s">
        <v>1063</v>
      </c>
      <c r="F52" s="347"/>
      <c r="G52" s="346"/>
    </row>
    <row r="53" spans="1:7" ht="15.75" x14ac:dyDescent="0.2">
      <c r="A53" s="338" t="s">
        <v>1187</v>
      </c>
      <c r="B53" s="338" t="s">
        <v>1054</v>
      </c>
      <c r="C53" s="339" t="s">
        <v>215</v>
      </c>
      <c r="D53" s="359">
        <v>1905632.95</v>
      </c>
      <c r="E53" s="346" t="s">
        <v>66</v>
      </c>
      <c r="F53" s="347" t="s">
        <v>1041</v>
      </c>
      <c r="G53" s="346"/>
    </row>
    <row r="54" spans="1:7" ht="15.75" x14ac:dyDescent="0.2">
      <c r="A54" s="338" t="s">
        <v>1190</v>
      </c>
      <c r="B54" s="338" t="s">
        <v>1191</v>
      </c>
      <c r="C54" s="339" t="s">
        <v>155</v>
      </c>
      <c r="D54" s="359">
        <v>943580</v>
      </c>
      <c r="E54" s="346" t="s">
        <v>1063</v>
      </c>
      <c r="F54" s="347"/>
      <c r="G54" s="346"/>
    </row>
    <row r="55" spans="1:7" ht="15.75" x14ac:dyDescent="0.2">
      <c r="A55" s="421"/>
      <c r="B55" s="421"/>
      <c r="C55" s="421"/>
      <c r="D55" s="342">
        <v>78964031.680000007</v>
      </c>
      <c r="E55" s="343"/>
      <c r="F55" s="345"/>
      <c r="G55" s="343"/>
    </row>
    <row r="56" spans="1:7" x14ac:dyDescent="0.2">
      <c r="A56" s="422"/>
      <c r="B56" s="422"/>
      <c r="C56" s="422"/>
      <c r="D56" s="422"/>
    </row>
    <row r="57" spans="1:7" x14ac:dyDescent="0.2">
      <c r="A57" s="422"/>
      <c r="B57" s="422"/>
      <c r="C57" s="422"/>
      <c r="D57" s="422"/>
    </row>
    <row r="58" spans="1:7" x14ac:dyDescent="0.2">
      <c r="A58" s="422"/>
      <c r="B58" s="422"/>
      <c r="C58" s="422"/>
      <c r="D58" s="422"/>
    </row>
  </sheetData>
  <autoFilter ref="A5:G55" xr:uid="{48FD2473-CCB4-4533-A942-A39805C5DC2A}"/>
  <mergeCells count="4">
    <mergeCell ref="A55:C55"/>
    <mergeCell ref="A56:D56"/>
    <mergeCell ref="A57:D57"/>
    <mergeCell ref="A58:D58"/>
  </mergeCells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  <ignoredErrors>
    <ignoredError sqref="D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ADD8-07BC-41EE-98C0-F2C35D14996A}">
  <sheetPr>
    <pageSetUpPr fitToPage="1"/>
  </sheetPr>
  <dimension ref="C2:L38"/>
  <sheetViews>
    <sheetView tabSelected="1" topLeftCell="A19" zoomScaleNormal="100" workbookViewId="0">
      <selection activeCell="D13" sqref="D13"/>
    </sheetView>
  </sheetViews>
  <sheetFormatPr defaultRowHeight="15" x14ac:dyDescent="0.25"/>
  <cols>
    <col min="1" max="1" width="1.42578125" style="62" customWidth="1"/>
    <col min="2" max="2" width="1.85546875" style="62" customWidth="1"/>
    <col min="3" max="3" width="59.85546875" style="62" customWidth="1"/>
    <col min="4" max="4" width="18" style="157" bestFit="1" customWidth="1"/>
    <col min="5" max="5" width="14.5703125" style="62" hidden="1" customWidth="1"/>
    <col min="6" max="6" width="0" style="62" hidden="1" customWidth="1"/>
    <col min="7" max="7" width="16.85546875" style="62" hidden="1" customWidth="1"/>
    <col min="8" max="8" width="2.140625" style="62" customWidth="1"/>
    <col min="9" max="9" width="18" style="62" bestFit="1" customWidth="1"/>
    <col min="10" max="10" width="9.140625" style="62"/>
    <col min="11" max="11" width="14.28515625" style="62" bestFit="1" customWidth="1"/>
    <col min="12" max="12" width="20.85546875" style="62" customWidth="1"/>
    <col min="13" max="256" width="9.140625" style="62"/>
    <col min="257" max="257" width="1.42578125" style="62" customWidth="1"/>
    <col min="258" max="258" width="1.85546875" style="62" customWidth="1"/>
    <col min="259" max="259" width="59.85546875" style="62" customWidth="1"/>
    <col min="260" max="260" width="18" style="62" bestFit="1" customWidth="1"/>
    <col min="261" max="263" width="0" style="62" hidden="1" customWidth="1"/>
    <col min="264" max="264" width="2.140625" style="62" customWidth="1"/>
    <col min="265" max="265" width="18" style="62" bestFit="1" customWidth="1"/>
    <col min="266" max="512" width="9.140625" style="62"/>
    <col min="513" max="513" width="1.42578125" style="62" customWidth="1"/>
    <col min="514" max="514" width="1.85546875" style="62" customWidth="1"/>
    <col min="515" max="515" width="59.85546875" style="62" customWidth="1"/>
    <col min="516" max="516" width="18" style="62" bestFit="1" customWidth="1"/>
    <col min="517" max="519" width="0" style="62" hidden="1" customWidth="1"/>
    <col min="520" max="520" width="2.140625" style="62" customWidth="1"/>
    <col min="521" max="521" width="18" style="62" bestFit="1" customWidth="1"/>
    <col min="522" max="768" width="9.140625" style="62"/>
    <col min="769" max="769" width="1.42578125" style="62" customWidth="1"/>
    <col min="770" max="770" width="1.85546875" style="62" customWidth="1"/>
    <col min="771" max="771" width="59.85546875" style="62" customWidth="1"/>
    <col min="772" max="772" width="18" style="62" bestFit="1" customWidth="1"/>
    <col min="773" max="775" width="0" style="62" hidden="1" customWidth="1"/>
    <col min="776" max="776" width="2.140625" style="62" customWidth="1"/>
    <col min="777" max="777" width="18" style="62" bestFit="1" customWidth="1"/>
    <col min="778" max="1024" width="9.140625" style="62"/>
    <col min="1025" max="1025" width="1.42578125" style="62" customWidth="1"/>
    <col min="1026" max="1026" width="1.85546875" style="62" customWidth="1"/>
    <col min="1027" max="1027" width="59.85546875" style="62" customWidth="1"/>
    <col min="1028" max="1028" width="18" style="62" bestFit="1" customWidth="1"/>
    <col min="1029" max="1031" width="0" style="62" hidden="1" customWidth="1"/>
    <col min="1032" max="1032" width="2.140625" style="62" customWidth="1"/>
    <col min="1033" max="1033" width="18" style="62" bestFit="1" customWidth="1"/>
    <col min="1034" max="1280" width="9.140625" style="62"/>
    <col min="1281" max="1281" width="1.42578125" style="62" customWidth="1"/>
    <col min="1282" max="1282" width="1.85546875" style="62" customWidth="1"/>
    <col min="1283" max="1283" width="59.85546875" style="62" customWidth="1"/>
    <col min="1284" max="1284" width="18" style="62" bestFit="1" customWidth="1"/>
    <col min="1285" max="1287" width="0" style="62" hidden="1" customWidth="1"/>
    <col min="1288" max="1288" width="2.140625" style="62" customWidth="1"/>
    <col min="1289" max="1289" width="18" style="62" bestFit="1" customWidth="1"/>
    <col min="1290" max="1536" width="9.140625" style="62"/>
    <col min="1537" max="1537" width="1.42578125" style="62" customWidth="1"/>
    <col min="1538" max="1538" width="1.85546875" style="62" customWidth="1"/>
    <col min="1539" max="1539" width="59.85546875" style="62" customWidth="1"/>
    <col min="1540" max="1540" width="18" style="62" bestFit="1" customWidth="1"/>
    <col min="1541" max="1543" width="0" style="62" hidden="1" customWidth="1"/>
    <col min="1544" max="1544" width="2.140625" style="62" customWidth="1"/>
    <col min="1545" max="1545" width="18" style="62" bestFit="1" customWidth="1"/>
    <col min="1546" max="1792" width="9.140625" style="62"/>
    <col min="1793" max="1793" width="1.42578125" style="62" customWidth="1"/>
    <col min="1794" max="1794" width="1.85546875" style="62" customWidth="1"/>
    <col min="1795" max="1795" width="59.85546875" style="62" customWidth="1"/>
    <col min="1796" max="1796" width="18" style="62" bestFit="1" customWidth="1"/>
    <col min="1797" max="1799" width="0" style="62" hidden="1" customWidth="1"/>
    <col min="1800" max="1800" width="2.140625" style="62" customWidth="1"/>
    <col min="1801" max="1801" width="18" style="62" bestFit="1" customWidth="1"/>
    <col min="1802" max="2048" width="9.140625" style="62"/>
    <col min="2049" max="2049" width="1.42578125" style="62" customWidth="1"/>
    <col min="2050" max="2050" width="1.85546875" style="62" customWidth="1"/>
    <col min="2051" max="2051" width="59.85546875" style="62" customWidth="1"/>
    <col min="2052" max="2052" width="18" style="62" bestFit="1" customWidth="1"/>
    <col min="2053" max="2055" width="0" style="62" hidden="1" customWidth="1"/>
    <col min="2056" max="2056" width="2.140625" style="62" customWidth="1"/>
    <col min="2057" max="2057" width="18" style="62" bestFit="1" customWidth="1"/>
    <col min="2058" max="2304" width="9.140625" style="62"/>
    <col min="2305" max="2305" width="1.42578125" style="62" customWidth="1"/>
    <col min="2306" max="2306" width="1.85546875" style="62" customWidth="1"/>
    <col min="2307" max="2307" width="59.85546875" style="62" customWidth="1"/>
    <col min="2308" max="2308" width="18" style="62" bestFit="1" customWidth="1"/>
    <col min="2309" max="2311" width="0" style="62" hidden="1" customWidth="1"/>
    <col min="2312" max="2312" width="2.140625" style="62" customWidth="1"/>
    <col min="2313" max="2313" width="18" style="62" bestFit="1" customWidth="1"/>
    <col min="2314" max="2560" width="9.140625" style="62"/>
    <col min="2561" max="2561" width="1.42578125" style="62" customWidth="1"/>
    <col min="2562" max="2562" width="1.85546875" style="62" customWidth="1"/>
    <col min="2563" max="2563" width="59.85546875" style="62" customWidth="1"/>
    <col min="2564" max="2564" width="18" style="62" bestFit="1" customWidth="1"/>
    <col min="2565" max="2567" width="0" style="62" hidden="1" customWidth="1"/>
    <col min="2568" max="2568" width="2.140625" style="62" customWidth="1"/>
    <col min="2569" max="2569" width="18" style="62" bestFit="1" customWidth="1"/>
    <col min="2570" max="2816" width="9.140625" style="62"/>
    <col min="2817" max="2817" width="1.42578125" style="62" customWidth="1"/>
    <col min="2818" max="2818" width="1.85546875" style="62" customWidth="1"/>
    <col min="2819" max="2819" width="59.85546875" style="62" customWidth="1"/>
    <col min="2820" max="2820" width="18" style="62" bestFit="1" customWidth="1"/>
    <col min="2821" max="2823" width="0" style="62" hidden="1" customWidth="1"/>
    <col min="2824" max="2824" width="2.140625" style="62" customWidth="1"/>
    <col min="2825" max="2825" width="18" style="62" bestFit="1" customWidth="1"/>
    <col min="2826" max="3072" width="9.140625" style="62"/>
    <col min="3073" max="3073" width="1.42578125" style="62" customWidth="1"/>
    <col min="3074" max="3074" width="1.85546875" style="62" customWidth="1"/>
    <col min="3075" max="3075" width="59.85546875" style="62" customWidth="1"/>
    <col min="3076" max="3076" width="18" style="62" bestFit="1" customWidth="1"/>
    <col min="3077" max="3079" width="0" style="62" hidden="1" customWidth="1"/>
    <col min="3080" max="3080" width="2.140625" style="62" customWidth="1"/>
    <col min="3081" max="3081" width="18" style="62" bestFit="1" customWidth="1"/>
    <col min="3082" max="3328" width="9.140625" style="62"/>
    <col min="3329" max="3329" width="1.42578125" style="62" customWidth="1"/>
    <col min="3330" max="3330" width="1.85546875" style="62" customWidth="1"/>
    <col min="3331" max="3331" width="59.85546875" style="62" customWidth="1"/>
    <col min="3332" max="3332" width="18" style="62" bestFit="1" customWidth="1"/>
    <col min="3333" max="3335" width="0" style="62" hidden="1" customWidth="1"/>
    <col min="3336" max="3336" width="2.140625" style="62" customWidth="1"/>
    <col min="3337" max="3337" width="18" style="62" bestFit="1" customWidth="1"/>
    <col min="3338" max="3584" width="9.140625" style="62"/>
    <col min="3585" max="3585" width="1.42578125" style="62" customWidth="1"/>
    <col min="3586" max="3586" width="1.85546875" style="62" customWidth="1"/>
    <col min="3587" max="3587" width="59.85546875" style="62" customWidth="1"/>
    <col min="3588" max="3588" width="18" style="62" bestFit="1" customWidth="1"/>
    <col min="3589" max="3591" width="0" style="62" hidden="1" customWidth="1"/>
    <col min="3592" max="3592" width="2.140625" style="62" customWidth="1"/>
    <col min="3593" max="3593" width="18" style="62" bestFit="1" customWidth="1"/>
    <col min="3594" max="3840" width="9.140625" style="62"/>
    <col min="3841" max="3841" width="1.42578125" style="62" customWidth="1"/>
    <col min="3842" max="3842" width="1.85546875" style="62" customWidth="1"/>
    <col min="3843" max="3843" width="59.85546875" style="62" customWidth="1"/>
    <col min="3844" max="3844" width="18" style="62" bestFit="1" customWidth="1"/>
    <col min="3845" max="3847" width="0" style="62" hidden="1" customWidth="1"/>
    <col min="3848" max="3848" width="2.140625" style="62" customWidth="1"/>
    <col min="3849" max="3849" width="18" style="62" bestFit="1" customWidth="1"/>
    <col min="3850" max="4096" width="9.140625" style="62"/>
    <col min="4097" max="4097" width="1.42578125" style="62" customWidth="1"/>
    <col min="4098" max="4098" width="1.85546875" style="62" customWidth="1"/>
    <col min="4099" max="4099" width="59.85546875" style="62" customWidth="1"/>
    <col min="4100" max="4100" width="18" style="62" bestFit="1" customWidth="1"/>
    <col min="4101" max="4103" width="0" style="62" hidden="1" customWidth="1"/>
    <col min="4104" max="4104" width="2.140625" style="62" customWidth="1"/>
    <col min="4105" max="4105" width="18" style="62" bestFit="1" customWidth="1"/>
    <col min="4106" max="4352" width="9.140625" style="62"/>
    <col min="4353" max="4353" width="1.42578125" style="62" customWidth="1"/>
    <col min="4354" max="4354" width="1.85546875" style="62" customWidth="1"/>
    <col min="4355" max="4355" width="59.85546875" style="62" customWidth="1"/>
    <col min="4356" max="4356" width="18" style="62" bestFit="1" customWidth="1"/>
    <col min="4357" max="4359" width="0" style="62" hidden="1" customWidth="1"/>
    <col min="4360" max="4360" width="2.140625" style="62" customWidth="1"/>
    <col min="4361" max="4361" width="18" style="62" bestFit="1" customWidth="1"/>
    <col min="4362" max="4608" width="9.140625" style="62"/>
    <col min="4609" max="4609" width="1.42578125" style="62" customWidth="1"/>
    <col min="4610" max="4610" width="1.85546875" style="62" customWidth="1"/>
    <col min="4611" max="4611" width="59.85546875" style="62" customWidth="1"/>
    <col min="4612" max="4612" width="18" style="62" bestFit="1" customWidth="1"/>
    <col min="4613" max="4615" width="0" style="62" hidden="1" customWidth="1"/>
    <col min="4616" max="4616" width="2.140625" style="62" customWidth="1"/>
    <col min="4617" max="4617" width="18" style="62" bestFit="1" customWidth="1"/>
    <col min="4618" max="4864" width="9.140625" style="62"/>
    <col min="4865" max="4865" width="1.42578125" style="62" customWidth="1"/>
    <col min="4866" max="4866" width="1.85546875" style="62" customWidth="1"/>
    <col min="4867" max="4867" width="59.85546875" style="62" customWidth="1"/>
    <col min="4868" max="4868" width="18" style="62" bestFit="1" customWidth="1"/>
    <col min="4869" max="4871" width="0" style="62" hidden="1" customWidth="1"/>
    <col min="4872" max="4872" width="2.140625" style="62" customWidth="1"/>
    <col min="4873" max="4873" width="18" style="62" bestFit="1" customWidth="1"/>
    <col min="4874" max="5120" width="9.140625" style="62"/>
    <col min="5121" max="5121" width="1.42578125" style="62" customWidth="1"/>
    <col min="5122" max="5122" width="1.85546875" style="62" customWidth="1"/>
    <col min="5123" max="5123" width="59.85546875" style="62" customWidth="1"/>
    <col min="5124" max="5124" width="18" style="62" bestFit="1" customWidth="1"/>
    <col min="5125" max="5127" width="0" style="62" hidden="1" customWidth="1"/>
    <col min="5128" max="5128" width="2.140625" style="62" customWidth="1"/>
    <col min="5129" max="5129" width="18" style="62" bestFit="1" customWidth="1"/>
    <col min="5130" max="5376" width="9.140625" style="62"/>
    <col min="5377" max="5377" width="1.42578125" style="62" customWidth="1"/>
    <col min="5378" max="5378" width="1.85546875" style="62" customWidth="1"/>
    <col min="5379" max="5379" width="59.85546875" style="62" customWidth="1"/>
    <col min="5380" max="5380" width="18" style="62" bestFit="1" customWidth="1"/>
    <col min="5381" max="5383" width="0" style="62" hidden="1" customWidth="1"/>
    <col min="5384" max="5384" width="2.140625" style="62" customWidth="1"/>
    <col min="5385" max="5385" width="18" style="62" bestFit="1" customWidth="1"/>
    <col min="5386" max="5632" width="9.140625" style="62"/>
    <col min="5633" max="5633" width="1.42578125" style="62" customWidth="1"/>
    <col min="5634" max="5634" width="1.85546875" style="62" customWidth="1"/>
    <col min="5635" max="5635" width="59.85546875" style="62" customWidth="1"/>
    <col min="5636" max="5636" width="18" style="62" bestFit="1" customWidth="1"/>
    <col min="5637" max="5639" width="0" style="62" hidden="1" customWidth="1"/>
    <col min="5640" max="5640" width="2.140625" style="62" customWidth="1"/>
    <col min="5641" max="5641" width="18" style="62" bestFit="1" customWidth="1"/>
    <col min="5642" max="5888" width="9.140625" style="62"/>
    <col min="5889" max="5889" width="1.42578125" style="62" customWidth="1"/>
    <col min="5890" max="5890" width="1.85546875" style="62" customWidth="1"/>
    <col min="5891" max="5891" width="59.85546875" style="62" customWidth="1"/>
    <col min="5892" max="5892" width="18" style="62" bestFit="1" customWidth="1"/>
    <col min="5893" max="5895" width="0" style="62" hidden="1" customWidth="1"/>
    <col min="5896" max="5896" width="2.140625" style="62" customWidth="1"/>
    <col min="5897" max="5897" width="18" style="62" bestFit="1" customWidth="1"/>
    <col min="5898" max="6144" width="9.140625" style="62"/>
    <col min="6145" max="6145" width="1.42578125" style="62" customWidth="1"/>
    <col min="6146" max="6146" width="1.85546875" style="62" customWidth="1"/>
    <col min="6147" max="6147" width="59.85546875" style="62" customWidth="1"/>
    <col min="6148" max="6148" width="18" style="62" bestFit="1" customWidth="1"/>
    <col min="6149" max="6151" width="0" style="62" hidden="1" customWidth="1"/>
    <col min="6152" max="6152" width="2.140625" style="62" customWidth="1"/>
    <col min="6153" max="6153" width="18" style="62" bestFit="1" customWidth="1"/>
    <col min="6154" max="6400" width="9.140625" style="62"/>
    <col min="6401" max="6401" width="1.42578125" style="62" customWidth="1"/>
    <col min="6402" max="6402" width="1.85546875" style="62" customWidth="1"/>
    <col min="6403" max="6403" width="59.85546875" style="62" customWidth="1"/>
    <col min="6404" max="6404" width="18" style="62" bestFit="1" customWidth="1"/>
    <col min="6405" max="6407" width="0" style="62" hidden="1" customWidth="1"/>
    <col min="6408" max="6408" width="2.140625" style="62" customWidth="1"/>
    <col min="6409" max="6409" width="18" style="62" bestFit="1" customWidth="1"/>
    <col min="6410" max="6656" width="9.140625" style="62"/>
    <col min="6657" max="6657" width="1.42578125" style="62" customWidth="1"/>
    <col min="6658" max="6658" width="1.85546875" style="62" customWidth="1"/>
    <col min="6659" max="6659" width="59.85546875" style="62" customWidth="1"/>
    <col min="6660" max="6660" width="18" style="62" bestFit="1" customWidth="1"/>
    <col min="6661" max="6663" width="0" style="62" hidden="1" customWidth="1"/>
    <col min="6664" max="6664" width="2.140625" style="62" customWidth="1"/>
    <col min="6665" max="6665" width="18" style="62" bestFit="1" customWidth="1"/>
    <col min="6666" max="6912" width="9.140625" style="62"/>
    <col min="6913" max="6913" width="1.42578125" style="62" customWidth="1"/>
    <col min="6914" max="6914" width="1.85546875" style="62" customWidth="1"/>
    <col min="6915" max="6915" width="59.85546875" style="62" customWidth="1"/>
    <col min="6916" max="6916" width="18" style="62" bestFit="1" customWidth="1"/>
    <col min="6917" max="6919" width="0" style="62" hidden="1" customWidth="1"/>
    <col min="6920" max="6920" width="2.140625" style="62" customWidth="1"/>
    <col min="6921" max="6921" width="18" style="62" bestFit="1" customWidth="1"/>
    <col min="6922" max="7168" width="9.140625" style="62"/>
    <col min="7169" max="7169" width="1.42578125" style="62" customWidth="1"/>
    <col min="7170" max="7170" width="1.85546875" style="62" customWidth="1"/>
    <col min="7171" max="7171" width="59.85546875" style="62" customWidth="1"/>
    <col min="7172" max="7172" width="18" style="62" bestFit="1" customWidth="1"/>
    <col min="7173" max="7175" width="0" style="62" hidden="1" customWidth="1"/>
    <col min="7176" max="7176" width="2.140625" style="62" customWidth="1"/>
    <col min="7177" max="7177" width="18" style="62" bestFit="1" customWidth="1"/>
    <col min="7178" max="7424" width="9.140625" style="62"/>
    <col min="7425" max="7425" width="1.42578125" style="62" customWidth="1"/>
    <col min="7426" max="7426" width="1.85546875" style="62" customWidth="1"/>
    <col min="7427" max="7427" width="59.85546875" style="62" customWidth="1"/>
    <col min="7428" max="7428" width="18" style="62" bestFit="1" customWidth="1"/>
    <col min="7429" max="7431" width="0" style="62" hidden="1" customWidth="1"/>
    <col min="7432" max="7432" width="2.140625" style="62" customWidth="1"/>
    <col min="7433" max="7433" width="18" style="62" bestFit="1" customWidth="1"/>
    <col min="7434" max="7680" width="9.140625" style="62"/>
    <col min="7681" max="7681" width="1.42578125" style="62" customWidth="1"/>
    <col min="7682" max="7682" width="1.85546875" style="62" customWidth="1"/>
    <col min="7683" max="7683" width="59.85546875" style="62" customWidth="1"/>
    <col min="7684" max="7684" width="18" style="62" bestFit="1" customWidth="1"/>
    <col min="7685" max="7687" width="0" style="62" hidden="1" customWidth="1"/>
    <col min="7688" max="7688" width="2.140625" style="62" customWidth="1"/>
    <col min="7689" max="7689" width="18" style="62" bestFit="1" customWidth="1"/>
    <col min="7690" max="7936" width="9.140625" style="62"/>
    <col min="7937" max="7937" width="1.42578125" style="62" customWidth="1"/>
    <col min="7938" max="7938" width="1.85546875" style="62" customWidth="1"/>
    <col min="7939" max="7939" width="59.85546875" style="62" customWidth="1"/>
    <col min="7940" max="7940" width="18" style="62" bestFit="1" customWidth="1"/>
    <col min="7941" max="7943" width="0" style="62" hidden="1" customWidth="1"/>
    <col min="7944" max="7944" width="2.140625" style="62" customWidth="1"/>
    <col min="7945" max="7945" width="18" style="62" bestFit="1" customWidth="1"/>
    <col min="7946" max="8192" width="9.140625" style="62"/>
    <col min="8193" max="8193" width="1.42578125" style="62" customWidth="1"/>
    <col min="8194" max="8194" width="1.85546875" style="62" customWidth="1"/>
    <col min="8195" max="8195" width="59.85546875" style="62" customWidth="1"/>
    <col min="8196" max="8196" width="18" style="62" bestFit="1" customWidth="1"/>
    <col min="8197" max="8199" width="0" style="62" hidden="1" customWidth="1"/>
    <col min="8200" max="8200" width="2.140625" style="62" customWidth="1"/>
    <col min="8201" max="8201" width="18" style="62" bestFit="1" customWidth="1"/>
    <col min="8202" max="8448" width="9.140625" style="62"/>
    <col min="8449" max="8449" width="1.42578125" style="62" customWidth="1"/>
    <col min="8450" max="8450" width="1.85546875" style="62" customWidth="1"/>
    <col min="8451" max="8451" width="59.85546875" style="62" customWidth="1"/>
    <col min="8452" max="8452" width="18" style="62" bestFit="1" customWidth="1"/>
    <col min="8453" max="8455" width="0" style="62" hidden="1" customWidth="1"/>
    <col min="8456" max="8456" width="2.140625" style="62" customWidth="1"/>
    <col min="8457" max="8457" width="18" style="62" bestFit="1" customWidth="1"/>
    <col min="8458" max="8704" width="9.140625" style="62"/>
    <col min="8705" max="8705" width="1.42578125" style="62" customWidth="1"/>
    <col min="8706" max="8706" width="1.85546875" style="62" customWidth="1"/>
    <col min="8707" max="8707" width="59.85546875" style="62" customWidth="1"/>
    <col min="8708" max="8708" width="18" style="62" bestFit="1" customWidth="1"/>
    <col min="8709" max="8711" width="0" style="62" hidden="1" customWidth="1"/>
    <col min="8712" max="8712" width="2.140625" style="62" customWidth="1"/>
    <col min="8713" max="8713" width="18" style="62" bestFit="1" customWidth="1"/>
    <col min="8714" max="8960" width="9.140625" style="62"/>
    <col min="8961" max="8961" width="1.42578125" style="62" customWidth="1"/>
    <col min="8962" max="8962" width="1.85546875" style="62" customWidth="1"/>
    <col min="8963" max="8963" width="59.85546875" style="62" customWidth="1"/>
    <col min="8964" max="8964" width="18" style="62" bestFit="1" customWidth="1"/>
    <col min="8965" max="8967" width="0" style="62" hidden="1" customWidth="1"/>
    <col min="8968" max="8968" width="2.140625" style="62" customWidth="1"/>
    <col min="8969" max="8969" width="18" style="62" bestFit="1" customWidth="1"/>
    <col min="8970" max="9216" width="9.140625" style="62"/>
    <col min="9217" max="9217" width="1.42578125" style="62" customWidth="1"/>
    <col min="9218" max="9218" width="1.85546875" style="62" customWidth="1"/>
    <col min="9219" max="9219" width="59.85546875" style="62" customWidth="1"/>
    <col min="9220" max="9220" width="18" style="62" bestFit="1" customWidth="1"/>
    <col min="9221" max="9223" width="0" style="62" hidden="1" customWidth="1"/>
    <col min="9224" max="9224" width="2.140625" style="62" customWidth="1"/>
    <col min="9225" max="9225" width="18" style="62" bestFit="1" customWidth="1"/>
    <col min="9226" max="9472" width="9.140625" style="62"/>
    <col min="9473" max="9473" width="1.42578125" style="62" customWidth="1"/>
    <col min="9474" max="9474" width="1.85546875" style="62" customWidth="1"/>
    <col min="9475" max="9475" width="59.85546875" style="62" customWidth="1"/>
    <col min="9476" max="9476" width="18" style="62" bestFit="1" customWidth="1"/>
    <col min="9477" max="9479" width="0" style="62" hidden="1" customWidth="1"/>
    <col min="9480" max="9480" width="2.140625" style="62" customWidth="1"/>
    <col min="9481" max="9481" width="18" style="62" bestFit="1" customWidth="1"/>
    <col min="9482" max="9728" width="9.140625" style="62"/>
    <col min="9729" max="9729" width="1.42578125" style="62" customWidth="1"/>
    <col min="9730" max="9730" width="1.85546875" style="62" customWidth="1"/>
    <col min="9731" max="9731" width="59.85546875" style="62" customWidth="1"/>
    <col min="9732" max="9732" width="18" style="62" bestFit="1" customWidth="1"/>
    <col min="9733" max="9735" width="0" style="62" hidden="1" customWidth="1"/>
    <col min="9736" max="9736" width="2.140625" style="62" customWidth="1"/>
    <col min="9737" max="9737" width="18" style="62" bestFit="1" customWidth="1"/>
    <col min="9738" max="9984" width="9.140625" style="62"/>
    <col min="9985" max="9985" width="1.42578125" style="62" customWidth="1"/>
    <col min="9986" max="9986" width="1.85546875" style="62" customWidth="1"/>
    <col min="9987" max="9987" width="59.85546875" style="62" customWidth="1"/>
    <col min="9988" max="9988" width="18" style="62" bestFit="1" customWidth="1"/>
    <col min="9989" max="9991" width="0" style="62" hidden="1" customWidth="1"/>
    <col min="9992" max="9992" width="2.140625" style="62" customWidth="1"/>
    <col min="9993" max="9993" width="18" style="62" bestFit="1" customWidth="1"/>
    <col min="9994" max="10240" width="9.140625" style="62"/>
    <col min="10241" max="10241" width="1.42578125" style="62" customWidth="1"/>
    <col min="10242" max="10242" width="1.85546875" style="62" customWidth="1"/>
    <col min="10243" max="10243" width="59.85546875" style="62" customWidth="1"/>
    <col min="10244" max="10244" width="18" style="62" bestFit="1" customWidth="1"/>
    <col min="10245" max="10247" width="0" style="62" hidden="1" customWidth="1"/>
    <col min="10248" max="10248" width="2.140625" style="62" customWidth="1"/>
    <col min="10249" max="10249" width="18" style="62" bestFit="1" customWidth="1"/>
    <col min="10250" max="10496" width="9.140625" style="62"/>
    <col min="10497" max="10497" width="1.42578125" style="62" customWidth="1"/>
    <col min="10498" max="10498" width="1.85546875" style="62" customWidth="1"/>
    <col min="10499" max="10499" width="59.85546875" style="62" customWidth="1"/>
    <col min="10500" max="10500" width="18" style="62" bestFit="1" customWidth="1"/>
    <col min="10501" max="10503" width="0" style="62" hidden="1" customWidth="1"/>
    <col min="10504" max="10504" width="2.140625" style="62" customWidth="1"/>
    <col min="10505" max="10505" width="18" style="62" bestFit="1" customWidth="1"/>
    <col min="10506" max="10752" width="9.140625" style="62"/>
    <col min="10753" max="10753" width="1.42578125" style="62" customWidth="1"/>
    <col min="10754" max="10754" width="1.85546875" style="62" customWidth="1"/>
    <col min="10755" max="10755" width="59.85546875" style="62" customWidth="1"/>
    <col min="10756" max="10756" width="18" style="62" bestFit="1" customWidth="1"/>
    <col min="10757" max="10759" width="0" style="62" hidden="1" customWidth="1"/>
    <col min="10760" max="10760" width="2.140625" style="62" customWidth="1"/>
    <col min="10761" max="10761" width="18" style="62" bestFit="1" customWidth="1"/>
    <col min="10762" max="11008" width="9.140625" style="62"/>
    <col min="11009" max="11009" width="1.42578125" style="62" customWidth="1"/>
    <col min="11010" max="11010" width="1.85546875" style="62" customWidth="1"/>
    <col min="11011" max="11011" width="59.85546875" style="62" customWidth="1"/>
    <col min="11012" max="11012" width="18" style="62" bestFit="1" customWidth="1"/>
    <col min="11013" max="11015" width="0" style="62" hidden="1" customWidth="1"/>
    <col min="11016" max="11016" width="2.140625" style="62" customWidth="1"/>
    <col min="11017" max="11017" width="18" style="62" bestFit="1" customWidth="1"/>
    <col min="11018" max="11264" width="9.140625" style="62"/>
    <col min="11265" max="11265" width="1.42578125" style="62" customWidth="1"/>
    <col min="11266" max="11266" width="1.85546875" style="62" customWidth="1"/>
    <col min="11267" max="11267" width="59.85546875" style="62" customWidth="1"/>
    <col min="11268" max="11268" width="18" style="62" bestFit="1" customWidth="1"/>
    <col min="11269" max="11271" width="0" style="62" hidden="1" customWidth="1"/>
    <col min="11272" max="11272" width="2.140625" style="62" customWidth="1"/>
    <col min="11273" max="11273" width="18" style="62" bestFit="1" customWidth="1"/>
    <col min="11274" max="11520" width="9.140625" style="62"/>
    <col min="11521" max="11521" width="1.42578125" style="62" customWidth="1"/>
    <col min="11522" max="11522" width="1.85546875" style="62" customWidth="1"/>
    <col min="11523" max="11523" width="59.85546875" style="62" customWidth="1"/>
    <col min="11524" max="11524" width="18" style="62" bestFit="1" customWidth="1"/>
    <col min="11525" max="11527" width="0" style="62" hidden="1" customWidth="1"/>
    <col min="11528" max="11528" width="2.140625" style="62" customWidth="1"/>
    <col min="11529" max="11529" width="18" style="62" bestFit="1" customWidth="1"/>
    <col min="11530" max="11776" width="9.140625" style="62"/>
    <col min="11777" max="11777" width="1.42578125" style="62" customWidth="1"/>
    <col min="11778" max="11778" width="1.85546875" style="62" customWidth="1"/>
    <col min="11779" max="11779" width="59.85546875" style="62" customWidth="1"/>
    <col min="11780" max="11780" width="18" style="62" bestFit="1" customWidth="1"/>
    <col min="11781" max="11783" width="0" style="62" hidden="1" customWidth="1"/>
    <col min="11784" max="11784" width="2.140625" style="62" customWidth="1"/>
    <col min="11785" max="11785" width="18" style="62" bestFit="1" customWidth="1"/>
    <col min="11786" max="12032" width="9.140625" style="62"/>
    <col min="12033" max="12033" width="1.42578125" style="62" customWidth="1"/>
    <col min="12034" max="12034" width="1.85546875" style="62" customWidth="1"/>
    <col min="12035" max="12035" width="59.85546875" style="62" customWidth="1"/>
    <col min="12036" max="12036" width="18" style="62" bestFit="1" customWidth="1"/>
    <col min="12037" max="12039" width="0" style="62" hidden="1" customWidth="1"/>
    <col min="12040" max="12040" width="2.140625" style="62" customWidth="1"/>
    <col min="12041" max="12041" width="18" style="62" bestFit="1" customWidth="1"/>
    <col min="12042" max="12288" width="9.140625" style="62"/>
    <col min="12289" max="12289" width="1.42578125" style="62" customWidth="1"/>
    <col min="12290" max="12290" width="1.85546875" style="62" customWidth="1"/>
    <col min="12291" max="12291" width="59.85546875" style="62" customWidth="1"/>
    <col min="12292" max="12292" width="18" style="62" bestFit="1" customWidth="1"/>
    <col min="12293" max="12295" width="0" style="62" hidden="1" customWidth="1"/>
    <col min="12296" max="12296" width="2.140625" style="62" customWidth="1"/>
    <col min="12297" max="12297" width="18" style="62" bestFit="1" customWidth="1"/>
    <col min="12298" max="12544" width="9.140625" style="62"/>
    <col min="12545" max="12545" width="1.42578125" style="62" customWidth="1"/>
    <col min="12546" max="12546" width="1.85546875" style="62" customWidth="1"/>
    <col min="12547" max="12547" width="59.85546875" style="62" customWidth="1"/>
    <col min="12548" max="12548" width="18" style="62" bestFit="1" customWidth="1"/>
    <col min="12549" max="12551" width="0" style="62" hidden="1" customWidth="1"/>
    <col min="12552" max="12552" width="2.140625" style="62" customWidth="1"/>
    <col min="12553" max="12553" width="18" style="62" bestFit="1" customWidth="1"/>
    <col min="12554" max="12800" width="9.140625" style="62"/>
    <col min="12801" max="12801" width="1.42578125" style="62" customWidth="1"/>
    <col min="12802" max="12802" width="1.85546875" style="62" customWidth="1"/>
    <col min="12803" max="12803" width="59.85546875" style="62" customWidth="1"/>
    <col min="12804" max="12804" width="18" style="62" bestFit="1" customWidth="1"/>
    <col min="12805" max="12807" width="0" style="62" hidden="1" customWidth="1"/>
    <col min="12808" max="12808" width="2.140625" style="62" customWidth="1"/>
    <col min="12809" max="12809" width="18" style="62" bestFit="1" customWidth="1"/>
    <col min="12810" max="13056" width="9.140625" style="62"/>
    <col min="13057" max="13057" width="1.42578125" style="62" customWidth="1"/>
    <col min="13058" max="13058" width="1.85546875" style="62" customWidth="1"/>
    <col min="13059" max="13059" width="59.85546875" style="62" customWidth="1"/>
    <col min="13060" max="13060" width="18" style="62" bestFit="1" customWidth="1"/>
    <col min="13061" max="13063" width="0" style="62" hidden="1" customWidth="1"/>
    <col min="13064" max="13064" width="2.140625" style="62" customWidth="1"/>
    <col min="13065" max="13065" width="18" style="62" bestFit="1" customWidth="1"/>
    <col min="13066" max="13312" width="9.140625" style="62"/>
    <col min="13313" max="13313" width="1.42578125" style="62" customWidth="1"/>
    <col min="13314" max="13314" width="1.85546875" style="62" customWidth="1"/>
    <col min="13315" max="13315" width="59.85546875" style="62" customWidth="1"/>
    <col min="13316" max="13316" width="18" style="62" bestFit="1" customWidth="1"/>
    <col min="13317" max="13319" width="0" style="62" hidden="1" customWidth="1"/>
    <col min="13320" max="13320" width="2.140625" style="62" customWidth="1"/>
    <col min="13321" max="13321" width="18" style="62" bestFit="1" customWidth="1"/>
    <col min="13322" max="13568" width="9.140625" style="62"/>
    <col min="13569" max="13569" width="1.42578125" style="62" customWidth="1"/>
    <col min="13570" max="13570" width="1.85546875" style="62" customWidth="1"/>
    <col min="13571" max="13571" width="59.85546875" style="62" customWidth="1"/>
    <col min="13572" max="13572" width="18" style="62" bestFit="1" customWidth="1"/>
    <col min="13573" max="13575" width="0" style="62" hidden="1" customWidth="1"/>
    <col min="13576" max="13576" width="2.140625" style="62" customWidth="1"/>
    <col min="13577" max="13577" width="18" style="62" bestFit="1" customWidth="1"/>
    <col min="13578" max="13824" width="9.140625" style="62"/>
    <col min="13825" max="13825" width="1.42578125" style="62" customWidth="1"/>
    <col min="13826" max="13826" width="1.85546875" style="62" customWidth="1"/>
    <col min="13827" max="13827" width="59.85546875" style="62" customWidth="1"/>
    <col min="13828" max="13828" width="18" style="62" bestFit="1" customWidth="1"/>
    <col min="13829" max="13831" width="0" style="62" hidden="1" customWidth="1"/>
    <col min="13832" max="13832" width="2.140625" style="62" customWidth="1"/>
    <col min="13833" max="13833" width="18" style="62" bestFit="1" customWidth="1"/>
    <col min="13834" max="14080" width="9.140625" style="62"/>
    <col min="14081" max="14081" width="1.42578125" style="62" customWidth="1"/>
    <col min="14082" max="14082" width="1.85546875" style="62" customWidth="1"/>
    <col min="14083" max="14083" width="59.85546875" style="62" customWidth="1"/>
    <col min="14084" max="14084" width="18" style="62" bestFit="1" customWidth="1"/>
    <col min="14085" max="14087" width="0" style="62" hidden="1" customWidth="1"/>
    <col min="14088" max="14088" width="2.140625" style="62" customWidth="1"/>
    <col min="14089" max="14089" width="18" style="62" bestFit="1" customWidth="1"/>
    <col min="14090" max="14336" width="9.140625" style="62"/>
    <col min="14337" max="14337" width="1.42578125" style="62" customWidth="1"/>
    <col min="14338" max="14338" width="1.85546875" style="62" customWidth="1"/>
    <col min="14339" max="14339" width="59.85546875" style="62" customWidth="1"/>
    <col min="14340" max="14340" width="18" style="62" bestFit="1" customWidth="1"/>
    <col min="14341" max="14343" width="0" style="62" hidden="1" customWidth="1"/>
    <col min="14344" max="14344" width="2.140625" style="62" customWidth="1"/>
    <col min="14345" max="14345" width="18" style="62" bestFit="1" customWidth="1"/>
    <col min="14346" max="14592" width="9.140625" style="62"/>
    <col min="14593" max="14593" width="1.42578125" style="62" customWidth="1"/>
    <col min="14594" max="14594" width="1.85546875" style="62" customWidth="1"/>
    <col min="14595" max="14595" width="59.85546875" style="62" customWidth="1"/>
    <col min="14596" max="14596" width="18" style="62" bestFit="1" customWidth="1"/>
    <col min="14597" max="14599" width="0" style="62" hidden="1" customWidth="1"/>
    <col min="14600" max="14600" width="2.140625" style="62" customWidth="1"/>
    <col min="14601" max="14601" width="18" style="62" bestFit="1" customWidth="1"/>
    <col min="14602" max="14848" width="9.140625" style="62"/>
    <col min="14849" max="14849" width="1.42578125" style="62" customWidth="1"/>
    <col min="14850" max="14850" width="1.85546875" style="62" customWidth="1"/>
    <col min="14851" max="14851" width="59.85546875" style="62" customWidth="1"/>
    <col min="14852" max="14852" width="18" style="62" bestFit="1" customWidth="1"/>
    <col min="14853" max="14855" width="0" style="62" hidden="1" customWidth="1"/>
    <col min="14856" max="14856" width="2.140625" style="62" customWidth="1"/>
    <col min="14857" max="14857" width="18" style="62" bestFit="1" customWidth="1"/>
    <col min="14858" max="15104" width="9.140625" style="62"/>
    <col min="15105" max="15105" width="1.42578125" style="62" customWidth="1"/>
    <col min="15106" max="15106" width="1.85546875" style="62" customWidth="1"/>
    <col min="15107" max="15107" width="59.85546875" style="62" customWidth="1"/>
    <col min="15108" max="15108" width="18" style="62" bestFit="1" customWidth="1"/>
    <col min="15109" max="15111" width="0" style="62" hidden="1" customWidth="1"/>
    <col min="15112" max="15112" width="2.140625" style="62" customWidth="1"/>
    <col min="15113" max="15113" width="18" style="62" bestFit="1" customWidth="1"/>
    <col min="15114" max="15360" width="9.140625" style="62"/>
    <col min="15361" max="15361" width="1.42578125" style="62" customWidth="1"/>
    <col min="15362" max="15362" width="1.85546875" style="62" customWidth="1"/>
    <col min="15363" max="15363" width="59.85546875" style="62" customWidth="1"/>
    <col min="15364" max="15364" width="18" style="62" bestFit="1" customWidth="1"/>
    <col min="15365" max="15367" width="0" style="62" hidden="1" customWidth="1"/>
    <col min="15368" max="15368" width="2.140625" style="62" customWidth="1"/>
    <col min="15369" max="15369" width="18" style="62" bestFit="1" customWidth="1"/>
    <col min="15370" max="15616" width="9.140625" style="62"/>
    <col min="15617" max="15617" width="1.42578125" style="62" customWidth="1"/>
    <col min="15618" max="15618" width="1.85546875" style="62" customWidth="1"/>
    <col min="15619" max="15619" width="59.85546875" style="62" customWidth="1"/>
    <col min="15620" max="15620" width="18" style="62" bestFit="1" customWidth="1"/>
    <col min="15621" max="15623" width="0" style="62" hidden="1" customWidth="1"/>
    <col min="15624" max="15624" width="2.140625" style="62" customWidth="1"/>
    <col min="15625" max="15625" width="18" style="62" bestFit="1" customWidth="1"/>
    <col min="15626" max="15872" width="9.140625" style="62"/>
    <col min="15873" max="15873" width="1.42578125" style="62" customWidth="1"/>
    <col min="15874" max="15874" width="1.85546875" style="62" customWidth="1"/>
    <col min="15875" max="15875" width="59.85546875" style="62" customWidth="1"/>
    <col min="15876" max="15876" width="18" style="62" bestFit="1" customWidth="1"/>
    <col min="15877" max="15879" width="0" style="62" hidden="1" customWidth="1"/>
    <col min="15880" max="15880" width="2.140625" style="62" customWidth="1"/>
    <col min="15881" max="15881" width="18" style="62" bestFit="1" customWidth="1"/>
    <col min="15882" max="16128" width="9.140625" style="62"/>
    <col min="16129" max="16129" width="1.42578125" style="62" customWidth="1"/>
    <col min="16130" max="16130" width="1.85546875" style="62" customWidth="1"/>
    <col min="16131" max="16131" width="59.85546875" style="62" customWidth="1"/>
    <col min="16132" max="16132" width="18" style="62" bestFit="1" customWidth="1"/>
    <col min="16133" max="16135" width="0" style="62" hidden="1" customWidth="1"/>
    <col min="16136" max="16136" width="2.140625" style="62" customWidth="1"/>
    <col min="16137" max="16137" width="18" style="62" bestFit="1" customWidth="1"/>
    <col min="16138" max="16384" width="9.140625" style="62"/>
  </cols>
  <sheetData>
    <row r="2" spans="3:12" hidden="1" x14ac:dyDescent="0.25"/>
    <row r="3" spans="3:12" hidden="1" x14ac:dyDescent="0.25">
      <c r="C3" s="158" t="s">
        <v>459</v>
      </c>
      <c r="D3" s="159">
        <f>SUM(D5:D9)</f>
        <v>146044090.48999998</v>
      </c>
      <c r="E3" s="157">
        <f>D3-'[1]Demonst Exec Financ Conciliado'!$J$89</f>
        <v>11470.639999955893</v>
      </c>
    </row>
    <row r="4" spans="3:12" hidden="1" x14ac:dyDescent="0.25"/>
    <row r="5" spans="3:12" hidden="1" x14ac:dyDescent="0.25">
      <c r="C5" s="102" t="s">
        <v>240</v>
      </c>
      <c r="D5" s="160">
        <f>[2]Janeiro!G1</f>
        <v>58285283.730000004</v>
      </c>
    </row>
    <row r="6" spans="3:12" hidden="1" x14ac:dyDescent="0.25">
      <c r="C6" s="102" t="s">
        <v>460</v>
      </c>
      <c r="D6" s="160">
        <v>8949.4699999913591</v>
      </c>
      <c r="G6" s="160">
        <f>D6+D5</f>
        <v>58294233.199999996</v>
      </c>
    </row>
    <row r="7" spans="3:12" hidden="1" x14ac:dyDescent="0.25">
      <c r="C7" s="62" t="s">
        <v>237</v>
      </c>
      <c r="D7" s="157">
        <f>[2]Fevereiro!G1</f>
        <v>88938685.99000001</v>
      </c>
    </row>
    <row r="8" spans="3:12" hidden="1" x14ac:dyDescent="0.25">
      <c r="C8" s="62" t="s">
        <v>461</v>
      </c>
      <c r="D8" s="157">
        <v>-1194723.55</v>
      </c>
      <c r="E8" s="62" t="s">
        <v>462</v>
      </c>
    </row>
    <row r="9" spans="3:12" hidden="1" x14ac:dyDescent="0.25">
      <c r="C9" s="62" t="s">
        <v>460</v>
      </c>
      <c r="D9" s="157">
        <v>5894.8500000014901</v>
      </c>
      <c r="G9" s="157">
        <f>SUM(D7:D9)</f>
        <v>87749857.290000021</v>
      </c>
    </row>
    <row r="11" spans="3:12" x14ac:dyDescent="0.25">
      <c r="C11" s="410" t="s">
        <v>463</v>
      </c>
      <c r="D11" s="410"/>
    </row>
    <row r="12" spans="3:12" x14ac:dyDescent="0.25">
      <c r="C12" s="410" t="s">
        <v>1208</v>
      </c>
      <c r="D12" s="410"/>
    </row>
    <row r="14" spans="3:12" x14ac:dyDescent="0.25">
      <c r="C14" s="102" t="s">
        <v>478</v>
      </c>
      <c r="D14" s="160">
        <v>15778860.4</v>
      </c>
      <c r="I14" s="176"/>
    </row>
    <row r="15" spans="3:12" x14ac:dyDescent="0.25">
      <c r="C15" s="102" t="s">
        <v>1209</v>
      </c>
      <c r="D15" s="160">
        <v>92936040.440000027</v>
      </c>
      <c r="I15" s="157"/>
      <c r="K15" s="177"/>
      <c r="L15" s="176"/>
    </row>
    <row r="16" spans="3:12" x14ac:dyDescent="0.25">
      <c r="C16" s="102" t="s">
        <v>1210</v>
      </c>
      <c r="D16" s="160">
        <v>111528900.12</v>
      </c>
      <c r="I16" s="157">
        <f>D16+D15</f>
        <v>204464940.56000003</v>
      </c>
      <c r="K16" s="177"/>
      <c r="L16" s="178"/>
    </row>
    <row r="17" spans="3:12" x14ac:dyDescent="0.25">
      <c r="C17" s="244" t="s">
        <v>1211</v>
      </c>
      <c r="D17" s="160">
        <v>83756927.789999992</v>
      </c>
      <c r="I17" s="157"/>
      <c r="K17" s="177"/>
      <c r="L17" s="178"/>
    </row>
    <row r="18" spans="3:12" x14ac:dyDescent="0.25">
      <c r="C18" s="244" t="s">
        <v>1212</v>
      </c>
      <c r="D18" s="160">
        <v>82197614.719999984</v>
      </c>
      <c r="I18" s="157">
        <f>D18+D17+D16+D15</f>
        <v>370419483.07000005</v>
      </c>
      <c r="K18" s="177"/>
      <c r="L18" s="178"/>
    </row>
    <row r="19" spans="3:12" x14ac:dyDescent="0.25">
      <c r="C19" s="324" t="s">
        <v>1213</v>
      </c>
      <c r="D19" s="160">
        <f>'Saldos - 05-2025'!E19</f>
        <v>104109388.73000002</v>
      </c>
      <c r="I19" s="157"/>
      <c r="K19" s="177"/>
      <c r="L19" s="178"/>
    </row>
    <row r="20" spans="3:12" x14ac:dyDescent="0.25">
      <c r="C20" s="324" t="s">
        <v>1214</v>
      </c>
      <c r="D20" s="160">
        <f>'Saldos - 06-2025'!E19</f>
        <v>103207715.86</v>
      </c>
      <c r="I20" s="157">
        <f>D18+D17+D16+D15+D19+D20</f>
        <v>577736587.66000009</v>
      </c>
      <c r="K20" s="177"/>
      <c r="L20" s="178"/>
    </row>
    <row r="21" spans="3:12" x14ac:dyDescent="0.25">
      <c r="C21" s="361" t="s">
        <v>1215</v>
      </c>
      <c r="D21" s="160">
        <f>'Saldos - 07-2025'!E19</f>
        <v>69479194.070000023</v>
      </c>
      <c r="I21" s="157"/>
      <c r="K21" s="177"/>
      <c r="L21" s="178"/>
    </row>
    <row r="22" spans="3:12" x14ac:dyDescent="0.25">
      <c r="C22" s="361" t="s">
        <v>1216</v>
      </c>
      <c r="D22" s="160">
        <f>'Saldos - 08-2025'!E19</f>
        <v>74648826.780000031</v>
      </c>
      <c r="I22" s="157">
        <f>D22+D21+D20+D19+D18+D17+D16+D15</f>
        <v>721864608.51000011</v>
      </c>
      <c r="K22" s="177"/>
      <c r="L22" s="178"/>
    </row>
    <row r="23" spans="3:12" x14ac:dyDescent="0.25">
      <c r="C23" s="361" t="s">
        <v>1217</v>
      </c>
      <c r="D23" s="160">
        <v>901662.73</v>
      </c>
      <c r="I23" s="157"/>
    </row>
    <row r="24" spans="3:12" x14ac:dyDescent="0.25">
      <c r="C24" s="361" t="s">
        <v>1218</v>
      </c>
      <c r="D24" s="160">
        <v>1438396.9300000002</v>
      </c>
      <c r="I24" s="157"/>
    </row>
    <row r="25" spans="3:12" x14ac:dyDescent="0.25">
      <c r="C25" s="361" t="s">
        <v>1219</v>
      </c>
      <c r="D25" s="160">
        <v>2042692.51</v>
      </c>
    </row>
    <row r="26" spans="3:12" x14ac:dyDescent="0.25">
      <c r="C26" s="361" t="s">
        <v>1220</v>
      </c>
      <c r="D26" s="160">
        <f>'Saldos - 08-2025'!E58+'Saldos - 07-2025'!E57</f>
        <v>2033609.3000000003</v>
      </c>
      <c r="I26" s="157">
        <f>D25+D24+D23+D26</f>
        <v>6416361.4700000007</v>
      </c>
    </row>
    <row r="27" spans="3:12" x14ac:dyDescent="0.25">
      <c r="C27" s="102" t="s">
        <v>467</v>
      </c>
      <c r="D27" s="160">
        <v>-643105389.38999999</v>
      </c>
      <c r="L27" s="178"/>
    </row>
    <row r="28" spans="3:12" x14ac:dyDescent="0.25">
      <c r="C28" s="117" t="s">
        <v>468</v>
      </c>
      <c r="D28" s="174">
        <v>-7571.2</v>
      </c>
      <c r="I28" s="92">
        <f>D28+D31</f>
        <v>-48045.349999999991</v>
      </c>
    </row>
    <row r="29" spans="3:12" x14ac:dyDescent="0.25">
      <c r="C29" s="362" t="s">
        <v>1222</v>
      </c>
      <c r="D29" s="174">
        <v>108526.20000000611</v>
      </c>
      <c r="I29" s="94"/>
      <c r="K29" s="94"/>
      <c r="L29" s="178"/>
    </row>
    <row r="30" spans="3:12" x14ac:dyDescent="0.25">
      <c r="C30" s="314" t="s">
        <v>926</v>
      </c>
      <c r="D30" s="174"/>
      <c r="I30" s="157">
        <f>D29</f>
        <v>108526.20000000611</v>
      </c>
      <c r="L30" s="178"/>
    </row>
    <row r="31" spans="3:12" x14ac:dyDescent="0.25">
      <c r="C31" s="362" t="s">
        <v>481</v>
      </c>
      <c r="D31" s="174">
        <v>-40474.149999999994</v>
      </c>
      <c r="I31" s="157"/>
    </row>
    <row r="34" spans="3:9" x14ac:dyDescent="0.25">
      <c r="C34" s="161" t="s">
        <v>470</v>
      </c>
      <c r="D34" s="162">
        <f>SUM(D14:D33)</f>
        <v>101014921.84</v>
      </c>
      <c r="I34" s="157"/>
    </row>
    <row r="36" spans="3:9" x14ac:dyDescent="0.25">
      <c r="C36" s="161" t="s">
        <v>1221</v>
      </c>
      <c r="D36" s="162">
        <f>'Saldos - 08-2025'!E59</f>
        <v>101014921.84999999</v>
      </c>
      <c r="I36" s="157">
        <f>D36-D34</f>
        <v>9.9999904632568359E-3</v>
      </c>
    </row>
    <row r="38" spans="3:9" x14ac:dyDescent="0.25">
      <c r="C38" s="163" t="s">
        <v>471</v>
      </c>
      <c r="D38" s="164">
        <f>D34-D36</f>
        <v>-9.9999904632568359E-3</v>
      </c>
      <c r="H38" s="157"/>
    </row>
  </sheetData>
  <mergeCells count="2">
    <mergeCell ref="C11:D11"/>
    <mergeCell ref="C12:D12"/>
  </mergeCells>
  <pageMargins left="0.511811024" right="0.511811024" top="0.78740157499999996" bottom="0.78740157499999996" header="0.31496062000000002" footer="0.31496062000000002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Detalhamento RE - 1º Bimestre</vt:lpstr>
      <vt:lpstr>Extrato 01-2025</vt:lpstr>
      <vt:lpstr>Extrato 02-2025</vt:lpstr>
      <vt:lpstr>REF - 1º Bimestre</vt:lpstr>
      <vt:lpstr>Saldos - 01-2025</vt:lpstr>
      <vt:lpstr>Cálculo Conciliação 1º Bimestre</vt:lpstr>
      <vt:lpstr>Saldos - 02-2025</vt:lpstr>
      <vt:lpstr>REF - Março</vt:lpstr>
      <vt:lpstr>Detalhamento RE - 2º Bimestre</vt:lpstr>
      <vt:lpstr>Extrato 03-2025</vt:lpstr>
      <vt:lpstr>Saldos - 03-2025</vt:lpstr>
      <vt:lpstr>REF - Abril</vt:lpstr>
      <vt:lpstr>Extrato 04-2025</vt:lpstr>
      <vt:lpstr>Saldos - 04-2025</vt:lpstr>
      <vt:lpstr>Cálculo Conciliação 2º Bimestre</vt:lpstr>
      <vt:lpstr>Extrato 05-2025</vt:lpstr>
      <vt:lpstr>Saldos - 05-2025</vt:lpstr>
      <vt:lpstr>REF - MAIO</vt:lpstr>
      <vt:lpstr>Extrato 06-2025</vt:lpstr>
      <vt:lpstr>REF - JUNHO</vt:lpstr>
      <vt:lpstr>Saldos - 06-2025</vt:lpstr>
      <vt:lpstr>Cálculo Conciliação 3º Bimestre</vt:lpstr>
      <vt:lpstr>Detalhamento RE - 3º Bimestre</vt:lpstr>
      <vt:lpstr>Detalhamento RE - 4º Bimestre</vt:lpstr>
      <vt:lpstr>Saldos - 07-2025</vt:lpstr>
      <vt:lpstr>Extrato 07-2025</vt:lpstr>
      <vt:lpstr>REF - JULHO</vt:lpstr>
      <vt:lpstr>Saldos - 08-2025</vt:lpstr>
      <vt:lpstr>Extrato 08-2025</vt:lpstr>
      <vt:lpstr>REF - AGOSTO</vt:lpstr>
      <vt:lpstr>Cálculo Conciliação 4º Bimestre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cp:lastPrinted>2025-07-23T11:55:34Z</cp:lastPrinted>
  <dcterms:created xsi:type="dcterms:W3CDTF">2025-03-25T15:43:54Z</dcterms:created>
  <dcterms:modified xsi:type="dcterms:W3CDTF">2025-10-02T12:27:51Z</dcterms:modified>
</cp:coreProperties>
</file>